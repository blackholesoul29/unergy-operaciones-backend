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petas" sheetId="1" r:id="rId5"/>
    <sheet state="visible" name="Diciembre" sheetId="2" r:id="rId6"/>
    <sheet state="hidden" name="Diciembre Data" sheetId="3" r:id="rId7"/>
    <sheet state="visible" name="Poliza" sheetId="4" r:id="rId8"/>
    <sheet state="visible" name="Enero" sheetId="5" r:id="rId9"/>
    <sheet state="visible" name="Febrero" sheetId="6" r:id="rId10"/>
    <sheet state="visible" name="Marzo" sheetId="7" r:id="rId11"/>
    <sheet state="visible" name="Abril" sheetId="8" r:id="rId12"/>
    <sheet state="hidden" name="Abril Data" sheetId="9" r:id="rId13"/>
    <sheet state="hidden" name="Marzo Data" sheetId="10" r:id="rId14"/>
    <sheet state="visible" name="MAPEO" sheetId="11" r:id="rId15"/>
    <sheet state="hidden" name="Febrero Data" sheetId="12" r:id="rId16"/>
    <sheet state="hidden" name="Enero Data" sheetId="13" r:id="rId17"/>
  </sheets>
  <definedNames>
    <definedName hidden="1" localSheetId="1" name="_xlnm._FilterDatabase">Diciembre!$A$1:$J$1033</definedName>
    <definedName hidden="1" localSheetId="3" name="_xlnm._FilterDatabase">Poliza!$A$1:$J$963</definedName>
    <definedName hidden="1" localSheetId="4" name="_xlnm._FilterDatabase">Enero!$A$1:$J$1027</definedName>
    <definedName hidden="1" localSheetId="5" name="_xlnm._FilterDatabase">Febrero!$A$1:$J$1027</definedName>
    <definedName hidden="1" localSheetId="6" name="_xlnm._FilterDatabase">Marzo!$A$1:$J$1027</definedName>
    <definedName hidden="1" localSheetId="7" name="_xlnm._FilterDatabase">Abril!$A$1:$J$1027</definedName>
  </definedNames>
  <calcPr/>
</workbook>
</file>

<file path=xl/sharedStrings.xml><?xml version="1.0" encoding="utf-8"?>
<sst xmlns="http://schemas.openxmlformats.org/spreadsheetml/2006/main" count="5202" uniqueCount="246">
  <si>
    <t>Cliente</t>
  </si>
  <si>
    <t>Carpeta</t>
  </si>
  <si>
    <t>Almacen Amc Sas</t>
  </si>
  <si>
    <t>AMC</t>
  </si>
  <si>
    <t>Central De Maderas G&amp;S S.A.S.</t>
  </si>
  <si>
    <t>Central de maderas</t>
  </si>
  <si>
    <t>Centro Comercial Y Empresarial Obelisco - P.H.-</t>
  </si>
  <si>
    <t>Obelisco</t>
  </si>
  <si>
    <t>Centro Comercial Y Empresarial Savanna Plaza Propiedad Horizontal</t>
  </si>
  <si>
    <t>Savanna Plaza</t>
  </si>
  <si>
    <t>Condominio Acanto P. H</t>
  </si>
  <si>
    <t>Acanto</t>
  </si>
  <si>
    <t>Congregación De Religiosas Hijas De Cristo Rey</t>
  </si>
  <si>
    <t>Cristo Rey</t>
  </si>
  <si>
    <t>Conjunto Residencial San Esteban Del Poblado P.H.</t>
  </si>
  <si>
    <t>San Esteban</t>
  </si>
  <si>
    <t>Cooperativa Antioqueña De Salud</t>
  </si>
  <si>
    <t>coopsana ips</t>
  </si>
  <si>
    <t>Ecoimagen Salud S.A.S</t>
  </si>
  <si>
    <t>Ecoimagen ips</t>
  </si>
  <si>
    <t>Edificio Torre Almagran Propiedad Horizontal</t>
  </si>
  <si>
    <t>Almagran</t>
  </si>
  <si>
    <t>Instituto Bolivariano (Ibes)</t>
  </si>
  <si>
    <t>instituto bolivariano (ibes)</t>
  </si>
  <si>
    <t>Los Coches</t>
  </si>
  <si>
    <t>Hotel los coches</t>
  </si>
  <si>
    <t>M.D.M. Cientifica S.A.S</t>
  </si>
  <si>
    <t>MDM Cientifica</t>
  </si>
  <si>
    <t>Polikem S.A.S</t>
  </si>
  <si>
    <t>Polikem</t>
  </si>
  <si>
    <t>Servicios Industriales Y Metalmecanicos Sas</t>
  </si>
  <si>
    <t>Seridme</t>
  </si>
  <si>
    <t>Sociedad Educativa Ngs Sas</t>
  </si>
  <si>
    <t>NGS</t>
  </si>
  <si>
    <t>Sociedad Medica Rionegro S.A. Somer S.A.</t>
  </si>
  <si>
    <t>Clinica Somer</t>
  </si>
  <si>
    <t>Urbanizacion Arboleda De Castilla Propiedad Horizontal</t>
  </si>
  <si>
    <t>arboleda de castilla</t>
  </si>
  <si>
    <t>Arcillas San Simon S.A.S.</t>
  </si>
  <si>
    <t>Arcillas San Simón</t>
  </si>
  <si>
    <t>Conjunto Laureles Campestre Etapas I Ii Y Iii Ph</t>
  </si>
  <si>
    <t>Laureles Campestre</t>
  </si>
  <si>
    <t>Dual Cross S.A.S</t>
  </si>
  <si>
    <t>Cross Bisnes center</t>
  </si>
  <si>
    <t>The Pub S. A. S.</t>
  </si>
  <si>
    <t>Pola Del Pub</t>
  </si>
  <si>
    <t>Minigranja Solar Uruaco</t>
  </si>
  <si>
    <t>0001_Uruaco</t>
  </si>
  <si>
    <t>Minigranja Solar Baraya</t>
  </si>
  <si>
    <t>0002_Baraya</t>
  </si>
  <si>
    <t>Minigranja Solar El Son</t>
  </si>
  <si>
    <t>0015 El Son</t>
  </si>
  <si>
    <t>Proyecto</t>
  </si>
  <si>
    <t>CLIENTE</t>
  </si>
  <si>
    <t>Inversionista</t>
  </si>
  <si>
    <t>Documento contable</t>
  </si>
  <si>
    <t>Ciudad</t>
  </si>
  <si>
    <t>Concepto</t>
  </si>
  <si>
    <t>Total</t>
  </si>
  <si>
    <t>Factura</t>
  </si>
  <si>
    <t>Link Carpeta General</t>
  </si>
  <si>
    <t>Codigo</t>
  </si>
  <si>
    <t>Generar</t>
  </si>
  <si>
    <t>Carpeta proyecto</t>
  </si>
  <si>
    <t>Fecha de Firma</t>
  </si>
  <si>
    <t>Fecha periodo</t>
  </si>
  <si>
    <t>01 al 31 de diciembre del 2025</t>
  </si>
  <si>
    <t>consecutivo final</t>
  </si>
  <si>
    <t>ALMACEN AMC SAS</t>
  </si>
  <si>
    <t>Mandato</t>
  </si>
  <si>
    <t>Sincelejo</t>
  </si>
  <si>
    <t>Ingreso Bruto</t>
  </si>
  <si>
    <t>total</t>
  </si>
  <si>
    <t>Interes</t>
  </si>
  <si>
    <t>Valor a Pagar</t>
  </si>
  <si>
    <t>Administración</t>
  </si>
  <si>
    <t>ARCILLAS SAN SIMON S.A.S.</t>
  </si>
  <si>
    <t>El Zulia</t>
  </si>
  <si>
    <t>CENTRAL DE MADERAS G&amp;S S.A.S.</t>
  </si>
  <si>
    <t>Turbaná</t>
  </si>
  <si>
    <t>Retención en la fuente</t>
  </si>
  <si>
    <t>CENTRO COMERCIAL Y EMPRESARIAL OBELISCO - 
P.H.-</t>
  </si>
  <si>
    <t>Medellín</t>
  </si>
  <si>
    <t>CONDOMINIO ACANTO Ρ. Η</t>
  </si>
  <si>
    <t>Envigado</t>
  </si>
  <si>
    <t>CONGREGACIÓN DE RELIGIOSAS HIJAS DE CRISTO REY</t>
  </si>
  <si>
    <t>Bogotá, D.C.</t>
  </si>
  <si>
    <t>CONJUNTO LAURELES CAMPESTRE ETAPAS I II Y III</t>
  </si>
  <si>
    <t>CONJUNTO RESIDENCIAL SAN ESTEBAN DEL POBLADO P.H.</t>
  </si>
  <si>
    <t>COOPERATIVA ANTIOQUEÑA DE SALUD</t>
  </si>
  <si>
    <t>DUAL CROSS S.A.S</t>
  </si>
  <si>
    <t>ECOIMAGEN SALUD S.A.S</t>
  </si>
  <si>
    <t>Cúcuta</t>
  </si>
  <si>
    <t>EDIFICIO TORRE ALMAGRAN PROPIEDAD
HORIZONTAL</t>
  </si>
  <si>
    <t>CORREDOR NIÑO FRANK EDWIN</t>
  </si>
  <si>
    <t>CORREA TOBON ALBERTO DE JESUS</t>
  </si>
  <si>
    <t>Montelíbano</t>
  </si>
  <si>
    <t>M.D.M. CIENTIFICA S.A.S</t>
  </si>
  <si>
    <t>POLIKEM S.A.S</t>
  </si>
  <si>
    <t>Rionegro</t>
  </si>
  <si>
    <t>ICA</t>
  </si>
  <si>
    <t>SERVICIOS INDUSTRIALES Y METALMECANICOS SAS</t>
  </si>
  <si>
    <t>Cartagena De Indias</t>
  </si>
  <si>
    <t>SOCIEDAD EDUCATIVA NGS SAS</t>
  </si>
  <si>
    <t>Villavicencio</t>
  </si>
  <si>
    <t>SOCIEDAD MEDICA RIONEGRO S.A. SOMER S.A.</t>
  </si>
  <si>
    <t>THE PUB S. A. S.</t>
  </si>
  <si>
    <t>Tocancipá</t>
  </si>
  <si>
    <t>URBANIZACION ARBOLEDA DE CASTILLA
PROPIEDAD HORIZONTAL</t>
  </si>
  <si>
    <t>UESP1320</t>
  </si>
  <si>
    <t>UESP1321</t>
  </si>
  <si>
    <t>UESP1322</t>
  </si>
  <si>
    <t>UESP1323</t>
  </si>
  <si>
    <t>UESP1324</t>
  </si>
  <si>
    <t>UESP1325</t>
  </si>
  <si>
    <t>UESP1326</t>
  </si>
  <si>
    <t>UESP1327</t>
  </si>
  <si>
    <t>UESP1328</t>
  </si>
  <si>
    <t>UESP1329</t>
  </si>
  <si>
    <t>UESP1330</t>
  </si>
  <si>
    <t>UESP1331</t>
  </si>
  <si>
    <t>UESP1332</t>
  </si>
  <si>
    <t>UESP1333</t>
  </si>
  <si>
    <t>UESP1334</t>
  </si>
  <si>
    <t>UESP1335</t>
  </si>
  <si>
    <t>UESP1336</t>
  </si>
  <si>
    <t>SALUD VEGAS - TORRE MÉDICA - PROPIEDAD HORIZONTAL</t>
  </si>
  <si>
    <t>UESP1337</t>
  </si>
  <si>
    <t>IML EMPAQUES COLOMBIA SAS</t>
  </si>
  <si>
    <t>UESP1338</t>
  </si>
  <si>
    <t>UESP1339</t>
  </si>
  <si>
    <t>Asiento contable</t>
  </si>
  <si>
    <t>01 al 30 de noviembre del 2025</t>
  </si>
  <si>
    <t>Poliza</t>
  </si>
  <si>
    <t>IVA</t>
  </si>
  <si>
    <t>CENTRO COMERCIAL Y EMPRESARIAL OBELISCO - P.H.-</t>
  </si>
  <si>
    <t>CENTRO COMERCIAL Y EMPRESARIAL SAVANNA
PLAZA PROPIEDAD HORIZONTAL</t>
  </si>
  <si>
    <t>Gimnasio San Angelo</t>
  </si>
  <si>
    <t>EDIFICIO TORRE ALMAGRAN PROPIEDAD HORIZONTAL</t>
  </si>
  <si>
    <t>01 al 31 de enero del 2025</t>
  </si>
  <si>
    <t>405</t>
  </si>
  <si>
    <t>CENTRO COMERCIAL Y EMPRESARIAL OBELISCO -P.H.-</t>
  </si>
  <si>
    <t>01 al 28 de febrero del 2026</t>
  </si>
  <si>
    <t>URBANIZACION ARBOLEDA DE CASTILLA PROPIEDAD HORIZONTAL</t>
  </si>
  <si>
    <t>ID ODOO</t>
  </si>
  <si>
    <t>01 al 31 de marzo del 2026</t>
  </si>
  <si>
    <t>Mantenimiento CENS</t>
  </si>
  <si>
    <t>759</t>
  </si>
  <si>
    <t xml:space="preserve">CENTRAL DE MADERAS G&amp;S SAS
</t>
  </si>
  <si>
    <t>CENTRAL DE MADERAS G&amp;S SAS</t>
  </si>
  <si>
    <t>CONDOMINIO ACANTO P. H</t>
  </si>
  <si>
    <t>CONJUNTO LAURELES CAMPESTRE ETAPAS I II Y III PH</t>
  </si>
  <si>
    <t>01 al 31 de abril del 2026</t>
  </si>
  <si>
    <t>THE PUB S.A.S.</t>
  </si>
  <si>
    <t>UESP1764</t>
  </si>
  <si>
    <t>UESP1765</t>
  </si>
  <si>
    <t>UESP1766</t>
  </si>
  <si>
    <t>UESP1767</t>
  </si>
  <si>
    <t>UESP1768</t>
  </si>
  <si>
    <t>UESP1769</t>
  </si>
  <si>
    <t>UESP1770</t>
  </si>
  <si>
    <t>UESP1771</t>
  </si>
  <si>
    <t>UESP1772</t>
  </si>
  <si>
    <t>UESP1773</t>
  </si>
  <si>
    <t>UESP1774</t>
  </si>
  <si>
    <t>UESP1775</t>
  </si>
  <si>
    <t>UESP1776</t>
  </si>
  <si>
    <t>UESP1777</t>
  </si>
  <si>
    <t>UESP1778</t>
  </si>
  <si>
    <t>UESP1779</t>
  </si>
  <si>
    <t>UESP1780</t>
  </si>
  <si>
    <t>UESP1781</t>
  </si>
  <si>
    <t>UESP1782</t>
  </si>
  <si>
    <t>UESP1783</t>
  </si>
  <si>
    <t>UESP1649</t>
  </si>
  <si>
    <t>UESP1650</t>
  </si>
  <si>
    <t>UESP1651</t>
  </si>
  <si>
    <t>UESP1652</t>
  </si>
  <si>
    <t>UESP1653</t>
  </si>
  <si>
    <t>UESP1654</t>
  </si>
  <si>
    <t>UESP1655</t>
  </si>
  <si>
    <t>UESP1656</t>
  </si>
  <si>
    <t>UESP1657</t>
  </si>
  <si>
    <t>UESP1658</t>
  </si>
  <si>
    <t>UESP1659</t>
  </si>
  <si>
    <t>UESP1660</t>
  </si>
  <si>
    <t>UESP1661</t>
  </si>
  <si>
    <t>UESP1662</t>
  </si>
  <si>
    <t>UESP1663</t>
  </si>
  <si>
    <t>UESP1664</t>
  </si>
  <si>
    <t>UESP1665</t>
  </si>
  <si>
    <t>UESP1666</t>
  </si>
  <si>
    <t>UESP1667</t>
  </si>
  <si>
    <t>UESP1668</t>
  </si>
  <si>
    <t>UESP1669</t>
  </si>
  <si>
    <t>UESP1670</t>
  </si>
  <si>
    <t>DAIRY PARTNERS AMERICAS MANUFACTURING COLOMBIA LTDA</t>
  </si>
  <si>
    <t>UESP1671</t>
  </si>
  <si>
    <t>DEDITO</t>
  </si>
  <si>
    <t>CREDITO</t>
  </si>
  <si>
    <t>DESCRIPCION</t>
  </si>
  <si>
    <t>CUENTA</t>
  </si>
  <si>
    <t>ASOCIADO</t>
  </si>
  <si>
    <t>EN MAYUSCULA (MES + AÑO + "PROY" + NOMBRE DEL PROYECTO + CONCEPTO</t>
  </si>
  <si>
    <t>SUNO ACTIVOS SOSTENIBLES S.A.S</t>
  </si>
  <si>
    <t>UESP1517</t>
  </si>
  <si>
    <t>UESP1518</t>
  </si>
  <si>
    <t>UESP1519</t>
  </si>
  <si>
    <t>UESP1520</t>
  </si>
  <si>
    <t>UESP1521</t>
  </si>
  <si>
    <t>UESP1522</t>
  </si>
  <si>
    <t>UESP1523</t>
  </si>
  <si>
    <t>UESP1524</t>
  </si>
  <si>
    <t>UESP1525</t>
  </si>
  <si>
    <t>UESP1526</t>
  </si>
  <si>
    <t>UESP1527</t>
  </si>
  <si>
    <t>UESP1528</t>
  </si>
  <si>
    <t>UESP1529</t>
  </si>
  <si>
    <t>UESP1530</t>
  </si>
  <si>
    <t>UESP1531</t>
  </si>
  <si>
    <t>UESP1532</t>
  </si>
  <si>
    <t>UESP1533</t>
  </si>
  <si>
    <t>UESP1534</t>
  </si>
  <si>
    <t>UESP1535</t>
  </si>
  <si>
    <t>UESP1536</t>
  </si>
  <si>
    <t>UESP1537</t>
  </si>
  <si>
    <t>UESP1539</t>
  </si>
  <si>
    <t>UESP1415</t>
  </si>
  <si>
    <t>UESP1416</t>
  </si>
  <si>
    <t>UESP1435</t>
  </si>
  <si>
    <t>UESP1436</t>
  </si>
  <si>
    <t>UESP1419</t>
  </si>
  <si>
    <t>UESP1420</t>
  </si>
  <si>
    <t>UESP1421</t>
  </si>
  <si>
    <t>UESP1422</t>
  </si>
  <si>
    <t>UESP1423</t>
  </si>
  <si>
    <t>UESP1424</t>
  </si>
  <si>
    <t>UESP1425</t>
  </si>
  <si>
    <t>UESP1426</t>
  </si>
  <si>
    <t>UESP1427</t>
  </si>
  <si>
    <t>UESP1428</t>
  </si>
  <si>
    <t>UESP1429</t>
  </si>
  <si>
    <t>UESP1430</t>
  </si>
  <si>
    <t>UESP1431</t>
  </si>
  <si>
    <t>UESP1432</t>
  </si>
  <si>
    <t>UESP1433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</si>
</sst>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&quot;-&quot;mm&quot;-&quot;dd"/>
  </numFmts>
  <fonts count="28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color theme="1"/>
      <name val="Calibri"/>
      <scheme val="minor"/>
    </font>
    <font>
      <u/>
      <sz val="11.0"/>
      <color theme="1"/>
      <name val="Calibri"/>
    </font>
    <font>
      <b/>
      <color rgb="FFFFFFFF"/>
      <name val="Arial"/>
    </font>
    <font>
      <color theme="1"/>
      <name val="Calibri"/>
      <scheme val="minor"/>
    </font>
    <font>
      <b/>
      <color theme="1"/>
      <name val="Arial"/>
    </font>
    <font>
      <color theme="1"/>
      <name val="Arial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color rgb="FFFFFFFF"/>
      <name val="Calibri"/>
      <scheme val="minor"/>
    </font>
    <font>
      <u/>
      <color rgb="FFFFFFFF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sz val="11.0"/>
      <color rgb="FF000000"/>
      <name val="Calibri"/>
    </font>
    <font>
      <b/>
      <i/>
      <color theme="1"/>
      <name val="Calibri"/>
      <scheme val="minor"/>
    </font>
    <font/>
    <font>
      <b/>
      <sz val="11.0"/>
      <color rgb="FF000000"/>
      <name val="Calibri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42AF3"/>
        <bgColor rgb="FF642A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D9D2E9"/>
        <bgColor rgb="FFD9D2E9"/>
      </patternFill>
    </fill>
    <fill>
      <patternFill patternType="solid">
        <fgColor rgb="FFF2DCDB"/>
        <bgColor rgb="FFF2DCDB"/>
      </patternFill>
    </fill>
  </fills>
  <borders count="26">
    <border/>
    <border>
      <left style="thin">
        <color rgb="FF642AF3"/>
      </left>
      <top style="thin">
        <color rgb="FF642AF3"/>
      </top>
    </border>
    <border>
      <right style="thin">
        <color rgb="FF642AF3"/>
      </right>
      <top style="thin">
        <color rgb="FF642AF3"/>
      </top>
    </border>
    <border>
      <left style="thin">
        <color rgb="FF642AF3"/>
      </left>
    </border>
    <border>
      <left style="thin">
        <color rgb="FF642AF3"/>
      </left>
      <right style="thin">
        <color rgb="FF642AF3"/>
      </right>
      <top style="thin">
        <color rgb="FF642AF3"/>
      </top>
    </border>
    <border>
      <left style="thin">
        <color rgb="FF642AF3"/>
      </left>
      <right style="thin">
        <color rgb="FF642AF3"/>
      </right>
    </border>
    <border>
      <left style="thin">
        <color rgb="FF642AF3"/>
      </left>
      <bottom style="thin">
        <color rgb="FF642AF3"/>
      </bottom>
    </border>
    <border>
      <left style="thin">
        <color rgb="FF642AF3"/>
      </left>
      <right style="thin">
        <color rgb="FF642AF3"/>
      </right>
      <bottom style="thin">
        <color rgb="FF642AF3"/>
      </bottom>
    </border>
    <border>
      <left style="medium">
        <color rgb="FF642AF3"/>
      </left>
      <right style="medium">
        <color rgb="FF642AF3"/>
      </right>
      <top style="medium">
        <color rgb="FF642AF3"/>
      </top>
    </border>
    <border>
      <left style="medium">
        <color rgb="FF642AF3"/>
      </left>
      <top style="medium">
        <color rgb="FF642AF3"/>
      </top>
    </border>
    <border>
      <top style="medium">
        <color rgb="FF642AF3"/>
      </top>
    </border>
    <border>
      <left style="medium">
        <color rgb="FF642AF3"/>
      </left>
      <right style="medium">
        <color rgb="FF642AF3"/>
      </right>
      <top style="medium">
        <color rgb="FF642AF3"/>
      </top>
      <bottom style="medium">
        <color rgb="FF642AF3"/>
      </bottom>
    </border>
    <border>
      <top style="thick">
        <color rgb="FF642AF3"/>
      </top>
    </border>
    <border>
      <left style="thick">
        <color rgb="FF642AF3"/>
      </left>
      <right style="thick">
        <color rgb="FF642AF3"/>
      </right>
      <top style="thick">
        <color rgb="FF642AF3"/>
      </top>
      <bottom style="thick">
        <color rgb="FF642AF3"/>
      </bottom>
    </border>
    <border>
      <right style="thick">
        <color rgb="FF642AF3"/>
      </right>
      <top style="thick">
        <color rgb="FF642AF3"/>
      </top>
      <bottom style="thick">
        <color rgb="FF642AF3"/>
      </bottom>
    </border>
    <border>
      <right style="medium">
        <color rgb="FF642AF3"/>
      </right>
      <top style="medium">
        <color rgb="FF642AF3"/>
      </top>
    </border>
    <border>
      <left style="medium">
        <color rgb="FF642AF3"/>
      </left>
      <right style="medium">
        <color rgb="FF642AF3"/>
      </right>
    </border>
    <border>
      <left style="medium">
        <color rgb="FF642AF3"/>
      </left>
    </border>
    <border>
      <right style="medium">
        <color rgb="FF642AF3"/>
      </right>
    </border>
    <border>
      <right style="medium">
        <color rgb="FF642AF3"/>
      </right>
      <bottom style="medium">
        <color rgb="FF642AF3"/>
      </bottom>
    </border>
    <border>
      <bottom style="medium">
        <color rgb="FF642AF3"/>
      </bottom>
    </border>
    <border>
      <left style="medium">
        <color rgb="FF642AF3"/>
      </left>
      <bottom style="medium">
        <color rgb="FF642AF3"/>
      </bottom>
    </border>
    <border>
      <left style="medium">
        <color rgb="FF642AF3"/>
      </left>
      <right style="medium">
        <color rgb="FF642AF3"/>
      </right>
      <bottom style="medium">
        <color rgb="FF642A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2" numFmtId="0" xfId="0" applyBorder="1" applyFont="1"/>
    <xf borderId="7" fillId="0" fontId="6" numFmtId="0" xfId="0" applyAlignment="1" applyBorder="1" applyFont="1">
      <alignment readingOrder="0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readingOrder="0" shrinkToFit="0" vertical="center" wrapText="0"/>
    </xf>
    <xf borderId="9" fillId="2" fontId="7" numFmtId="0" xfId="0" applyAlignment="1" applyBorder="1" applyFont="1">
      <alignment horizontal="center" shrinkToFit="0" vertical="center" wrapText="0"/>
    </xf>
    <xf borderId="10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readingOrder="0" shrinkToFit="0" vertical="center" wrapText="0"/>
    </xf>
    <xf borderId="10" fillId="2" fontId="7" numFmtId="164" xfId="0" applyAlignment="1" applyBorder="1" applyFont="1" applyNumberFormat="1">
      <alignment horizontal="center" shrinkToFit="0" vertical="center" wrapText="1"/>
    </xf>
    <xf borderId="8" fillId="2" fontId="7" numFmtId="164" xfId="0" applyAlignment="1" applyBorder="1" applyFont="1" applyNumberFormat="1">
      <alignment horizontal="center" readingOrder="0" shrinkToFit="0" vertical="center" wrapText="0"/>
    </xf>
    <xf borderId="8" fillId="2" fontId="7" numFmtId="164" xfId="0" applyAlignment="1" applyBorder="1" applyFont="1" applyNumberFormat="1">
      <alignment readingOrder="0" shrinkToFit="0" vertical="center" wrapText="0"/>
    </xf>
    <xf borderId="11" fillId="2" fontId="7" numFmtId="49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right" readingOrder="0" vertical="center"/>
    </xf>
    <xf borderId="12" fillId="2" fontId="7" numFmtId="164" xfId="0" applyAlignment="1" applyBorder="1" applyFont="1" applyNumberFormat="1">
      <alignment horizontal="center" shrinkToFit="0" vertical="center" wrapText="0"/>
    </xf>
    <xf borderId="12" fillId="2" fontId="7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vertical="center"/>
    </xf>
    <xf borderId="13" fillId="0" fontId="9" numFmtId="0" xfId="0" applyAlignment="1" applyBorder="1" applyFont="1">
      <alignment horizontal="center" shrinkToFit="0" vertical="center" wrapText="1"/>
    </xf>
    <xf borderId="14" fillId="0" fontId="10" numFmtId="165" xfId="0" applyAlignment="1" applyBorder="1" applyFont="1" applyNumberForma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9" fillId="0" fontId="8" numFmtId="0" xfId="0" applyBorder="1" applyFont="1"/>
    <xf borderId="10" fillId="0" fontId="8" numFmtId="0" xfId="0" applyAlignment="1" applyBorder="1" applyFont="1">
      <alignment readingOrder="0" shrinkToFit="0" wrapText="0"/>
    </xf>
    <xf borderId="10" fillId="0" fontId="8" numFmtId="0" xfId="0" applyAlignment="1" applyBorder="1" applyFont="1">
      <alignment readingOrder="0"/>
    </xf>
    <xf borderId="10" fillId="3" fontId="8" numFmtId="0" xfId="0" applyAlignment="1" applyBorder="1" applyFill="1" applyFont="1">
      <alignment readingOrder="0"/>
    </xf>
    <xf borderId="10" fillId="0" fontId="8" numFmtId="0" xfId="0" applyBorder="1" applyFont="1"/>
    <xf borderId="10" fillId="0" fontId="8" numFmtId="164" xfId="0" applyAlignment="1" applyBorder="1" applyFont="1" applyNumberFormat="1">
      <alignment readingOrder="0"/>
    </xf>
    <xf borderId="15" fillId="0" fontId="8" numFmtId="0" xfId="0" applyAlignment="1" applyBorder="1" applyFont="1">
      <alignment horizontal="center" readingOrder="0"/>
    </xf>
    <xf borderId="15" fillId="0" fontId="11" numFmtId="0" xfId="0" applyAlignment="1" applyBorder="1" applyFont="1">
      <alignment readingOrder="0"/>
    </xf>
    <xf borderId="9" fillId="0" fontId="8" numFmtId="49" xfId="0" applyAlignment="1" applyBorder="1" applyFont="1" applyNumberFormat="1">
      <alignment readingOrder="0"/>
    </xf>
    <xf borderId="0" fillId="0" fontId="8" numFmtId="0" xfId="0" applyAlignment="1" applyFont="1">
      <alignment horizontal="right"/>
    </xf>
    <xf borderId="16" fillId="0" fontId="8" numFmtId="0" xfId="0" applyAlignment="1" applyBorder="1" applyFont="1">
      <alignment readingOrder="0"/>
    </xf>
    <xf borderId="16" fillId="0" fontId="8" numFmtId="0" xfId="0" applyBorder="1" applyFont="1"/>
    <xf borderId="16" fillId="0" fontId="12" numFmtId="0" xfId="0" applyAlignment="1" applyBorder="1" applyFont="1">
      <alignment readingOrder="0"/>
    </xf>
    <xf borderId="17" fillId="0" fontId="8" numFmtId="0" xfId="0" applyBorder="1" applyFont="1"/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8" numFmtId="0" xfId="0" applyFont="1"/>
    <xf borderId="0" fillId="0" fontId="8" numFmtId="164" xfId="0" applyAlignment="1" applyFont="1" applyNumberFormat="1">
      <alignment readingOrder="0"/>
    </xf>
    <xf borderId="18" fillId="0" fontId="8" numFmtId="0" xfId="0" applyAlignment="1" applyBorder="1" applyFont="1">
      <alignment horizontal="center" readingOrder="0"/>
    </xf>
    <xf borderId="19" fillId="0" fontId="13" numFmtId="0" xfId="0" applyAlignment="1" applyBorder="1" applyFont="1">
      <alignment readingOrder="0"/>
    </xf>
    <xf borderId="17" fillId="0" fontId="8" numFmtId="49" xfId="0" applyBorder="1" applyFont="1" applyNumberFormat="1"/>
    <xf borderId="17" fillId="2" fontId="14" numFmtId="0" xfId="0" applyBorder="1" applyFont="1"/>
    <xf borderId="0" fillId="2" fontId="14" numFmtId="0" xfId="0" applyAlignment="1" applyFont="1">
      <alignment readingOrder="0" shrinkToFit="0" wrapText="0"/>
    </xf>
    <xf borderId="0" fillId="2" fontId="14" numFmtId="0" xfId="0" applyAlignment="1" applyFont="1">
      <alignment readingOrder="0"/>
    </xf>
    <xf borderId="0" fillId="2" fontId="14" numFmtId="0" xfId="0" applyFont="1"/>
    <xf borderId="0" fillId="2" fontId="14" numFmtId="164" xfId="0" applyAlignment="1" applyFont="1" applyNumberFormat="1">
      <alignment readingOrder="0"/>
    </xf>
    <xf borderId="18" fillId="2" fontId="14" numFmtId="0" xfId="0" applyAlignment="1" applyBorder="1" applyFont="1">
      <alignment horizontal="center" readingOrder="0"/>
    </xf>
    <xf borderId="18" fillId="2" fontId="14" numFmtId="0" xfId="0" applyAlignment="1" applyBorder="1" applyFont="1">
      <alignment readingOrder="0"/>
    </xf>
    <xf borderId="17" fillId="2" fontId="14" numFmtId="49" xfId="0" applyBorder="1" applyFont="1" applyNumberFormat="1"/>
    <xf borderId="0" fillId="4" fontId="8" numFmtId="0" xfId="0" applyAlignment="1" applyFill="1" applyFont="1">
      <alignment readingOrder="0"/>
    </xf>
    <xf borderId="18" fillId="2" fontId="15" numFmtId="0" xfId="0" applyAlignment="1" applyBorder="1" applyFont="1">
      <alignment readingOrder="0"/>
    </xf>
    <xf borderId="9" fillId="5" fontId="8" numFmtId="0" xfId="0" applyBorder="1" applyFill="1" applyFont="1"/>
    <xf borderId="9" fillId="6" fontId="8" numFmtId="49" xfId="0" applyAlignment="1" applyBorder="1" applyFill="1" applyFont="1" applyNumberFormat="1">
      <alignment readingOrder="0"/>
    </xf>
    <xf borderId="17" fillId="5" fontId="8" numFmtId="0" xfId="0" applyBorder="1" applyFont="1"/>
    <xf borderId="17" fillId="5" fontId="14" numFmtId="0" xfId="0" applyBorder="1" applyFont="1"/>
    <xf borderId="20" fillId="0" fontId="8" numFmtId="164" xfId="0" applyAlignment="1" applyBorder="1" applyFont="1" applyNumberFormat="1">
      <alignment readingOrder="0"/>
    </xf>
    <xf borderId="10" fillId="0" fontId="8" numFmtId="0" xfId="0" applyAlignment="1" applyBorder="1" applyFont="1">
      <alignment horizontal="center" readingOrder="0"/>
    </xf>
    <xf borderId="10" fillId="0" fontId="16" numFmtId="0" xfId="0" applyAlignment="1" applyBorder="1" applyFont="1">
      <alignment readingOrder="0"/>
    </xf>
    <xf borderId="15" fillId="0" fontId="8" numFmtId="49" xfId="0" applyAlignment="1" applyBorder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18" fillId="0" fontId="8" numFmtId="49" xfId="0" applyBorder="1" applyFont="1" applyNumberFormat="1"/>
    <xf borderId="21" fillId="0" fontId="8" numFmtId="0" xfId="0" applyBorder="1" applyFont="1"/>
    <xf borderId="20" fillId="0" fontId="8" numFmtId="0" xfId="0" applyAlignment="1" applyBorder="1" applyFont="1">
      <alignment readingOrder="0" shrinkToFit="0" wrapText="0"/>
    </xf>
    <xf borderId="20" fillId="0" fontId="8" numFmtId="0" xfId="0" applyAlignment="1" applyBorder="1" applyFont="1">
      <alignment readingOrder="0"/>
    </xf>
    <xf borderId="20" fillId="3" fontId="8" numFmtId="0" xfId="0" applyAlignment="1" applyBorder="1" applyFont="1">
      <alignment readingOrder="0"/>
    </xf>
    <xf borderId="20" fillId="0" fontId="8" numFmtId="0" xfId="0" applyBorder="1" applyFont="1"/>
    <xf borderId="20" fillId="7" fontId="8" numFmtId="0" xfId="0" applyAlignment="1" applyBorder="1" applyFill="1" applyFont="1">
      <alignment readingOrder="0"/>
    </xf>
    <xf borderId="20" fillId="7" fontId="8" numFmtId="164" xfId="0" applyAlignment="1" applyBorder="1" applyFont="1" applyNumberFormat="1">
      <alignment readingOrder="0"/>
    </xf>
    <xf borderId="19" fillId="0" fontId="8" numFmtId="49" xfId="0" applyBorder="1" applyFont="1" applyNumberFormat="1"/>
    <xf borderId="16" fillId="2" fontId="14" numFmtId="0" xfId="0" applyBorder="1" applyFont="1"/>
    <xf borderId="16" fillId="2" fontId="14" numFmtId="49" xfId="0" applyBorder="1" applyFont="1" applyNumberFormat="1"/>
    <xf borderId="16" fillId="0" fontId="8" numFmtId="49" xfId="0" applyBorder="1" applyFont="1" applyNumberFormat="1"/>
    <xf borderId="22" fillId="0" fontId="8" numFmtId="0" xfId="0" applyBorder="1" applyFont="1"/>
    <xf borderId="20" fillId="4" fontId="8" numFmtId="0" xfId="0" applyAlignment="1" applyBorder="1" applyFont="1">
      <alignment readingOrder="0"/>
    </xf>
    <xf borderId="19" fillId="0" fontId="8" numFmtId="0" xfId="0" applyAlignment="1" applyBorder="1" applyFont="1">
      <alignment horizontal="center" readingOrder="0"/>
    </xf>
    <xf borderId="22" fillId="0" fontId="8" numFmtId="49" xfId="0" applyBorder="1" applyFont="1" applyNumberFormat="1"/>
    <xf borderId="8" fillId="0" fontId="8" numFmtId="0" xfId="0" applyAlignment="1" applyBorder="1" applyFont="1">
      <alignment readingOrder="0"/>
    </xf>
    <xf borderId="8" fillId="0" fontId="8" numFmtId="49" xfId="0" applyAlignment="1" applyBorder="1" applyFont="1" applyNumberFormat="1">
      <alignment readingOrder="0"/>
    </xf>
    <xf borderId="22" fillId="0" fontId="8" numFmtId="0" xfId="0" applyAlignment="1" applyBorder="1" applyFont="1">
      <alignment readingOrder="0"/>
    </xf>
    <xf borderId="22" fillId="0" fontId="8" numFmtId="49" xfId="0" applyAlignment="1" applyBorder="1" applyFont="1" applyNumberFormat="1">
      <alignment readingOrder="0"/>
    </xf>
    <xf borderId="0" fillId="0" fontId="14" numFmtId="0" xfId="0" applyFont="1"/>
    <xf borderId="16" fillId="0" fontId="8" numFmtId="49" xfId="0" applyAlignment="1" applyBorder="1" applyFont="1" applyNumberFormat="1">
      <alignment readingOrder="0"/>
    </xf>
    <xf borderId="22" fillId="0" fontId="18" numFmtId="0" xfId="0" applyAlignment="1" applyBorder="1" applyFont="1">
      <alignment readingOrder="0"/>
    </xf>
    <xf borderId="8" fillId="0" fontId="8" numFmtId="0" xfId="0" applyBorder="1" applyFont="1"/>
    <xf borderId="8" fillId="0" fontId="8" numFmtId="49" xfId="0" applyBorder="1" applyFont="1" applyNumberFormat="1"/>
    <xf borderId="0" fillId="0" fontId="8" numFmtId="0" xfId="0" applyAlignment="1" applyFont="1">
      <alignment horizontal="right" readingOrder="0"/>
    </xf>
    <xf borderId="8" fillId="8" fontId="8" numFmtId="0" xfId="0" applyBorder="1" applyFill="1" applyFont="1"/>
    <xf borderId="10" fillId="9" fontId="8" numFmtId="164" xfId="0" applyAlignment="1" applyBorder="1" applyFill="1" applyFont="1" applyNumberFormat="1">
      <alignment readingOrder="0"/>
    </xf>
    <xf borderId="22" fillId="8" fontId="8" numFmtId="0" xfId="0" applyBorder="1" applyFont="1"/>
    <xf borderId="18" fillId="2" fontId="14" numFmtId="0" xfId="0" applyAlignment="1" applyBorder="1" applyFont="1">
      <alignment horizontal="center"/>
    </xf>
    <xf borderId="18" fillId="2" fontId="14" numFmtId="0" xfId="0" applyBorder="1" applyFont="1"/>
    <xf borderId="15" fillId="6" fontId="8" numFmtId="49" xfId="0" applyAlignment="1" applyBorder="1" applyFont="1" applyNumberFormat="1">
      <alignment readingOrder="0"/>
    </xf>
    <xf borderId="21" fillId="5" fontId="8" numFmtId="0" xfId="0" applyBorder="1" applyFont="1"/>
    <xf borderId="16" fillId="5" fontId="14" numFmtId="0" xfId="0" applyBorder="1" applyFont="1"/>
    <xf borderId="8" fillId="5" fontId="8" numFmtId="0" xfId="0" applyBorder="1" applyFont="1"/>
    <xf borderId="16" fillId="5" fontId="8" numFmtId="0" xfId="0" applyBorder="1" applyFont="1"/>
    <xf borderId="0" fillId="7" fontId="8" numFmtId="0" xfId="0" applyAlignment="1" applyFont="1">
      <alignment readingOrder="0"/>
    </xf>
    <xf borderId="0" fillId="7" fontId="8" numFmtId="164" xfId="0" applyAlignment="1" applyFont="1" applyNumberFormat="1">
      <alignment readingOrder="0"/>
    </xf>
    <xf borderId="8" fillId="6" fontId="8" numFmtId="49" xfId="0" applyAlignment="1" applyBorder="1" applyFont="1" applyNumberFormat="1">
      <alignment readingOrder="0"/>
    </xf>
    <xf borderId="22" fillId="5" fontId="8" numFmtId="0" xfId="0" applyBorder="1" applyFont="1"/>
    <xf borderId="10" fillId="10" fontId="8" numFmtId="164" xfId="0" applyAlignment="1" applyBorder="1" applyFill="1" applyFont="1" applyNumberFormat="1">
      <alignment readingOrder="0"/>
    </xf>
    <xf borderId="21" fillId="2" fontId="14" numFmtId="0" xfId="0" applyBorder="1" applyFont="1"/>
    <xf borderId="20" fillId="2" fontId="14" numFmtId="0" xfId="0" applyAlignment="1" applyBorder="1" applyFont="1">
      <alignment readingOrder="0" shrinkToFit="0" wrapText="0"/>
    </xf>
    <xf borderId="20" fillId="2" fontId="14" numFmtId="0" xfId="0" applyAlignment="1" applyBorder="1" applyFont="1">
      <alignment readingOrder="0"/>
    </xf>
    <xf borderId="20" fillId="2" fontId="14" numFmtId="0" xfId="0" applyBorder="1" applyFont="1"/>
    <xf borderId="19" fillId="2" fontId="14" numFmtId="0" xfId="0" applyAlignment="1" applyBorder="1" applyFont="1">
      <alignment horizontal="center"/>
    </xf>
    <xf borderId="19" fillId="2" fontId="14" numFmtId="0" xfId="0" applyBorder="1" applyFont="1"/>
    <xf borderId="21" fillId="2" fontId="14" numFmtId="49" xfId="0" applyBorder="1" applyFont="1" applyNumberFormat="1"/>
    <xf borderId="0" fillId="0" fontId="8" numFmtId="0" xfId="0" applyAlignment="1" applyFont="1">
      <alignment shrinkToFit="0" wrapText="0"/>
    </xf>
    <xf borderId="0" fillId="0" fontId="8" numFmtId="164" xfId="0" applyFont="1" applyNumberFormat="1"/>
    <xf borderId="0" fillId="0" fontId="8" numFmtId="0" xfId="0" applyAlignment="1" applyFont="1">
      <alignment horizontal="center"/>
    </xf>
    <xf borderId="0" fillId="0" fontId="8" numFmtId="49" xfId="0" applyFont="1" applyNumberFormat="1"/>
    <xf borderId="0" fillId="0" fontId="8" numFmtId="164" xfId="0" applyAlignment="1" applyFont="1" applyNumberFormat="1">
      <alignment readingOrder="0"/>
    </xf>
    <xf borderId="12" fillId="0" fontId="9" numFmtId="164" xfId="0" applyAlignment="1" applyBorder="1" applyFont="1" applyNumberFormat="1">
      <alignment horizontal="center" shrinkToFit="0" vertical="center" wrapText="0"/>
    </xf>
    <xf borderId="12" fillId="0" fontId="9" numFmtId="164" xfId="0" applyAlignment="1" applyBorder="1" applyFont="1" applyNumberFormat="1">
      <alignment horizontal="center" readingOrder="0" shrinkToFit="0" vertical="center" wrapText="0"/>
    </xf>
    <xf borderId="0" fillId="3" fontId="19" numFmtId="0" xfId="0" applyAlignment="1" applyFont="1">
      <alignment readingOrder="0"/>
    </xf>
    <xf borderId="17" fillId="0" fontId="8" numFmtId="49" xfId="0" applyAlignment="1" applyBorder="1" applyFont="1" applyNumberFormat="1">
      <alignment readingOrder="0"/>
    </xf>
    <xf borderId="18" fillId="0" fontId="8" numFmtId="0" xfId="0" applyAlignment="1" applyBorder="1" applyFont="1">
      <alignment readingOrder="0"/>
    </xf>
    <xf borderId="18" fillId="0" fontId="8" numFmtId="49" xfId="0" applyAlignment="1" applyBorder="1" applyFont="1" applyNumberFormat="1">
      <alignment readingOrder="0"/>
    </xf>
    <xf borderId="16" fillId="6" fontId="8" numFmtId="0" xfId="0" applyBorder="1" applyFont="1"/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10" fillId="6" fontId="8" numFmtId="0" xfId="0" applyAlignment="1" applyBorder="1" applyFont="1">
      <alignment readingOrder="0"/>
    </xf>
    <xf borderId="10" fillId="6" fontId="8" numFmtId="0" xfId="0" applyBorder="1" applyFont="1"/>
    <xf borderId="10" fillId="6" fontId="8" numFmtId="164" xfId="0" applyAlignment="1" applyBorder="1" applyFont="1" applyNumberFormat="1">
      <alignment readingOrder="0"/>
    </xf>
    <xf borderId="15" fillId="6" fontId="8" numFmtId="0" xfId="0" applyAlignment="1" applyBorder="1" applyFont="1">
      <alignment horizontal="center" readingOrder="0"/>
    </xf>
    <xf borderId="15" fillId="6" fontId="20" numFmtId="0" xfId="0" applyAlignment="1" applyBorder="1" applyFont="1">
      <alignment readingOrder="0"/>
    </xf>
    <xf borderId="10" fillId="4" fontId="8" numFmtId="0" xfId="0" applyAlignment="1" applyBorder="1" applyFont="1">
      <alignment readingOrder="0"/>
    </xf>
    <xf borderId="10" fillId="4" fontId="8" numFmtId="0" xfId="0" applyBorder="1" applyFont="1"/>
    <xf borderId="15" fillId="4" fontId="8" numFmtId="0" xfId="0" applyAlignment="1" applyBorder="1" applyFont="1">
      <alignment horizontal="center" readingOrder="0"/>
    </xf>
    <xf borderId="15" fillId="4" fontId="21" numFmtId="0" xfId="0" applyAlignment="1" applyBorder="1" applyFont="1">
      <alignment readingOrder="0"/>
    </xf>
    <xf borderId="8" fillId="4" fontId="8" numFmtId="49" xfId="0" applyAlignment="1" applyBorder="1" applyFont="1" applyNumberFormat="1">
      <alignment readingOrder="0"/>
    </xf>
    <xf borderId="0" fillId="4" fontId="8" numFmtId="0" xfId="0" applyAlignment="1" applyFont="1">
      <alignment horizontal="right"/>
    </xf>
    <xf borderId="0" fillId="4" fontId="8" numFmtId="0" xfId="0" applyFont="1"/>
    <xf borderId="20" fillId="4" fontId="8" numFmtId="0" xfId="0" applyBorder="1" applyFont="1"/>
    <xf borderId="19" fillId="4" fontId="8" numFmtId="0" xfId="0" applyAlignment="1" applyBorder="1" applyFont="1">
      <alignment horizontal="center" readingOrder="0"/>
    </xf>
    <xf borderId="19" fillId="4" fontId="22" numFmtId="0" xfId="0" applyAlignment="1" applyBorder="1" applyFont="1">
      <alignment readingOrder="0"/>
    </xf>
    <xf borderId="22" fillId="4" fontId="8" numFmtId="49" xfId="0" applyBorder="1" applyFont="1" applyNumberFormat="1"/>
    <xf borderId="10" fillId="4" fontId="8" numFmtId="164" xfId="0" applyAlignment="1" applyBorder="1" applyFont="1" applyNumberFormat="1">
      <alignment readingOrder="0"/>
    </xf>
    <xf borderId="0" fillId="4" fontId="8" numFmtId="164" xfId="0" applyAlignment="1" applyFont="1" applyNumberFormat="1">
      <alignment readingOrder="0"/>
    </xf>
    <xf borderId="20" fillId="4" fontId="8" numFmtId="164" xfId="0" applyAlignment="1" applyBorder="1" applyFont="1" applyNumberFormat="1">
      <alignment readingOrder="0"/>
    </xf>
    <xf borderId="10" fillId="11" fontId="8" numFmtId="0" xfId="0" applyAlignment="1" applyBorder="1" applyFill="1" applyFont="1">
      <alignment readingOrder="0"/>
    </xf>
    <xf borderId="10" fillId="11" fontId="8" numFmtId="164" xfId="0" applyAlignment="1" applyBorder="1" applyFont="1" applyNumberFormat="1">
      <alignment readingOrder="0"/>
    </xf>
    <xf borderId="0" fillId="11" fontId="8" numFmtId="0" xfId="0" applyAlignment="1" applyFont="1">
      <alignment readingOrder="0"/>
    </xf>
    <xf borderId="0" fillId="11" fontId="8" numFmtId="164" xfId="0" applyAlignment="1" applyFont="1" applyNumberFormat="1">
      <alignment readingOrder="0"/>
    </xf>
    <xf borderId="20" fillId="11" fontId="8" numFmtId="0" xfId="0" applyAlignment="1" applyBorder="1" applyFont="1">
      <alignment readingOrder="0"/>
    </xf>
    <xf borderId="20" fillId="11" fontId="8" numFmtId="164" xfId="0" applyAlignment="1" applyBorder="1" applyFont="1" applyNumberFormat="1">
      <alignment readingOrder="0"/>
    </xf>
    <xf borderId="22" fillId="2" fontId="14" numFmtId="49" xfId="0" applyBorder="1" applyFont="1" applyNumberFormat="1"/>
    <xf borderId="15" fillId="0" fontId="8" numFmtId="164" xfId="0" applyAlignment="1" applyBorder="1" applyFont="1" applyNumberFormat="1">
      <alignment horizontal="center" readingOrder="0"/>
    </xf>
    <xf borderId="18" fillId="0" fontId="8" numFmtId="164" xfId="0" applyAlignment="1" applyBorder="1" applyFont="1" applyNumberFormat="1">
      <alignment horizontal="center" readingOrder="0"/>
    </xf>
    <xf borderId="18" fillId="2" fontId="14" numFmtId="164" xfId="0" applyAlignment="1" applyBorder="1" applyFont="1" applyNumberFormat="1">
      <alignment horizontal="center" readingOrder="0"/>
    </xf>
    <xf borderId="10" fillId="0" fontId="8" numFmtId="164" xfId="0" applyAlignment="1" applyBorder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12" fontId="23" numFmtId="49" xfId="0" applyAlignment="1" applyFill="1" applyFont="1" applyNumberFormat="1">
      <alignment readingOrder="0" vertical="bottom"/>
    </xf>
    <xf borderId="19" fillId="0" fontId="8" numFmtId="164" xfId="0" applyAlignment="1" applyBorder="1" applyFont="1" applyNumberFormat="1">
      <alignment horizontal="center" readingOrder="0"/>
    </xf>
    <xf borderId="15" fillId="4" fontId="8" numFmtId="164" xfId="0" applyAlignment="1" applyBorder="1" applyFont="1" applyNumberFormat="1">
      <alignment horizontal="center" readingOrder="0"/>
    </xf>
    <xf borderId="19" fillId="4" fontId="8" numFmtId="164" xfId="0" applyAlignment="1" applyBorder="1" applyFont="1" applyNumberFormat="1">
      <alignment horizontal="center" readingOrder="0"/>
    </xf>
    <xf borderId="18" fillId="2" fontId="14" numFmtId="164" xfId="0" applyAlignment="1" applyBorder="1" applyFont="1" applyNumberFormat="1">
      <alignment horizontal="center"/>
    </xf>
    <xf borderId="19" fillId="2" fontId="14" numFmtId="164" xfId="0" applyAlignment="1" applyBorder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23" fillId="0" fontId="8" numFmtId="0" xfId="0" applyBorder="1" applyFont="1"/>
    <xf borderId="23" fillId="0" fontId="24" numFmtId="0" xfId="0" applyAlignment="1" applyBorder="1" applyFont="1">
      <alignment horizontal="center" readingOrder="0"/>
    </xf>
    <xf borderId="24" fillId="0" fontId="24" numFmtId="0" xfId="0" applyAlignment="1" applyBorder="1" applyFont="1">
      <alignment horizontal="center" readingOrder="0"/>
    </xf>
    <xf borderId="25" fillId="0" fontId="25" numFmtId="0" xfId="0" applyBorder="1" applyFont="1"/>
    <xf borderId="23" fillId="0" fontId="24" numFmtId="0" xfId="0" applyAlignment="1" applyBorder="1" applyFont="1">
      <alignment readingOrder="0"/>
    </xf>
    <xf borderId="23" fillId="0" fontId="24" numFmtId="0" xfId="0" applyBorder="1" applyFont="1"/>
    <xf borderId="23" fillId="0" fontId="8" numFmtId="0" xfId="0" applyAlignment="1" applyBorder="1" applyFont="1">
      <alignment readingOrder="0"/>
    </xf>
    <xf borderId="23" fillId="0" fontId="26" numFmtId="0" xfId="0" applyAlignment="1" applyBorder="1" applyFont="1">
      <alignment horizontal="center" readingOrder="0" shrinkToFit="0" vertical="top" wrapText="0"/>
    </xf>
    <xf borderId="23" fillId="0" fontId="26" numFmtId="164" xfId="0" applyAlignment="1" applyBorder="1" applyFont="1" applyNumberFormat="1">
      <alignment horizontal="center" readingOrder="0" shrinkToFit="0" vertical="top" wrapText="0"/>
    </xf>
    <xf borderId="0" fillId="0" fontId="23" numFmtId="0" xfId="0" applyAlignment="1" applyFont="1">
      <alignment readingOrder="0" shrinkToFit="0" vertical="bottom" wrapText="0"/>
    </xf>
    <xf borderId="0" fillId="0" fontId="23" numFmtId="164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readingOrder="0"/>
    </xf>
    <xf borderId="0" fillId="0" fontId="2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0</xdr:row>
      <xdr:rowOff>19050</xdr:rowOff>
    </xdr:from>
    <xdr:ext cx="1314450" cy="476250"/>
    <xdr:sp>
      <xdr:nvSpPr>
        <xdr:cNvPr id="3" name="Shape 3"/>
        <xdr:cNvSpPr/>
      </xdr:nvSpPr>
      <xdr:spPr>
        <a:xfrm>
          <a:off x="3702725" y="2261652"/>
          <a:ext cx="1297782" cy="455760"/>
        </a:xfrm>
        <a:prstGeom prst="flowChartMultidocument">
          <a:avLst/>
        </a:prstGeom>
        <a:solidFill>
          <a:srgbClr val="642A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solidFill>
                <a:srgbClr val="FFFFFF"/>
              </a:solidFill>
            </a:rPr>
            <a:t>Generar</a:t>
          </a:r>
          <a:endParaRPr b="1" sz="13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eOytpkS3vwA-GpRqI0vn5_Ay83m-VcbI&amp;usp=drive_copy" TargetMode="External"/><Relationship Id="rId22" Type="http://schemas.openxmlformats.org/officeDocument/2006/relationships/hyperlink" Target="https://drive.google.com/open?id=1tMLhJQDLPaA4YNwUY7c5dL1Irfp5PygE&amp;usp=drive_copy" TargetMode="External"/><Relationship Id="rId21" Type="http://schemas.openxmlformats.org/officeDocument/2006/relationships/hyperlink" Target="https://drive.google.com/open?id=1iesPtkAzNZL2x72AOZ9ZnvIeeUFEMM27&amp;usp=drive_copy" TargetMode="External"/><Relationship Id="rId24" Type="http://schemas.openxmlformats.org/officeDocument/2006/relationships/hyperlink" Target="https://drive.google.com/drive/folders/1Srq-198jnGeObT22ZqVbaSCvKjiaAxqv?usp=drive_link" TargetMode="External"/><Relationship Id="rId23" Type="http://schemas.openxmlformats.org/officeDocument/2006/relationships/hyperlink" Target="https://drive.google.com/drive/folders/1Fc67fN-DyWq_0ERoBCRcnogqX4kO1grg?usp=drive_link" TargetMode="External"/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Ve9t-s1zzEA4IWrqU99D8ngLHc5RXMI?usp=drive_link" TargetMode="External"/><Relationship Id="rId3" Type="http://schemas.openxmlformats.org/officeDocument/2006/relationships/hyperlink" Target="https://drive.google.com/open?id=1Zr5CRkKEuDsAuPAz4Wb2D9WWW1-QCAHX&amp;usp=drive_copy" TargetMode="External"/><Relationship Id="rId4" Type="http://schemas.openxmlformats.org/officeDocument/2006/relationships/hyperlink" Target="https://drive.google.com/open?id=14_SXrPyfbwy-Y25VDQbALH3HAEGTLtau&amp;usp=drive_copy" TargetMode="External"/><Relationship Id="rId9" Type="http://schemas.openxmlformats.org/officeDocument/2006/relationships/hyperlink" Target="https://drive.google.com/open?id=1GlsmoXF9Wfk8jNhF5v0xR0QZtwyEcuVx&amp;usp=drive_copy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drive/folders/1h6P5o2X3rwwAOs4I330xuJ-woSkmehlR?usp=drive_link" TargetMode="External"/><Relationship Id="rId5" Type="http://schemas.openxmlformats.org/officeDocument/2006/relationships/hyperlink" Target="https://drive.google.com/drive/folders/10VJRxsuM1h5BaieidbcmqT0hsPmrP9NP?usp=drive_link" TargetMode="External"/><Relationship Id="rId6" Type="http://schemas.openxmlformats.org/officeDocument/2006/relationships/hyperlink" Target="https://drive.google.com/drive/folders/1DHyPflhOp-ZhFIryhQ_js9_T8u4gBpZP?usp=drive_link" TargetMode="External"/><Relationship Id="rId7" Type="http://schemas.openxmlformats.org/officeDocument/2006/relationships/hyperlink" Target="https://drive.google.com/open?id=1pGwg3-dOOxoPYISWm66N0YNds7iDmqun&amp;usp=drive_copy" TargetMode="External"/><Relationship Id="rId8" Type="http://schemas.openxmlformats.org/officeDocument/2006/relationships/hyperlink" Target="https://drive.google.com/open?id=1rmtnTBxlN4nGC7srgJcqIg2hR7pewEyO&amp;usp=drive_copy" TargetMode="External"/><Relationship Id="rId11" Type="http://schemas.openxmlformats.org/officeDocument/2006/relationships/hyperlink" Target="https://drive.google.com/open?id=1nwG_8Vh0lFHKQe5GTHWyJuVhm50KfMTR&amp;usp=drive_copy" TargetMode="External"/><Relationship Id="rId10" Type="http://schemas.openxmlformats.org/officeDocument/2006/relationships/hyperlink" Target="https://drive.google.com/drive/folders/1PJRM9Xi8zgROj0tuXxrE8e6CuT33deIt?usp=drive_link" TargetMode="External"/><Relationship Id="rId13" Type="http://schemas.openxmlformats.org/officeDocument/2006/relationships/hyperlink" Target="https://drive.google.com/open?id=1FjlDeQ5Ha-_P0LLRYWecFPoMj9_dUTZ1&amp;usp=drive_copy" TargetMode="External"/><Relationship Id="rId12" Type="http://schemas.openxmlformats.org/officeDocument/2006/relationships/hyperlink" Target="https://drive.google.com/open?id=1EVsA14-ymw5H5SEPpQ-Ec-s2J0Hbcxml&amp;usp=drive_copy" TargetMode="External"/><Relationship Id="rId15" Type="http://schemas.openxmlformats.org/officeDocument/2006/relationships/hyperlink" Target="https://drive.google.com/open?id=1QV3kQeaeKktrFBddV9GKy9WD6-8uxB1S&amp;usp=drive_copy" TargetMode="External"/><Relationship Id="rId14" Type="http://schemas.openxmlformats.org/officeDocument/2006/relationships/hyperlink" Target="https://drive.google.com/open?id=12n9NnxBNW-mWVQBYAqIwSB0_ZYGiRmDG&amp;usp=drive_copy" TargetMode="External"/><Relationship Id="rId17" Type="http://schemas.openxmlformats.org/officeDocument/2006/relationships/hyperlink" Target="https://drive.google.com/drive/folders/1khFICOp46Tn1VxNITHAe6NqHMVxQP6Tz?usp=drive_link" TargetMode="External"/><Relationship Id="rId16" Type="http://schemas.openxmlformats.org/officeDocument/2006/relationships/hyperlink" Target="https://drive.google.com/open?id=1gjxViYu-XCwg9SLacp4mDX1GIWHO4-sK&amp;usp=drive_copy" TargetMode="External"/><Relationship Id="rId19" Type="http://schemas.openxmlformats.org/officeDocument/2006/relationships/hyperlink" Target="https://drive.google.com/drive/folders/1Hz1p-M5x8lNJ6S2f6l3cj8hFm8BQUQtf?usp=drive_link" TargetMode="External"/><Relationship Id="rId18" Type="http://schemas.openxmlformats.org/officeDocument/2006/relationships/hyperlink" Target="https://drive.google.com/drive/folders/1YWIJEAsctC1a_I_fvRMQsNA2CJjC1BDM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mtnTBxlN4nGC7srgJcqIg2hR7pewEyO&amp;usp=drive_copy" TargetMode="External"/><Relationship Id="rId42" Type="http://schemas.openxmlformats.org/officeDocument/2006/relationships/hyperlink" Target="https://drive.google.com/open?id=1iesPtkAzNZL2x72AOZ9ZnvIeeUFEMM27&amp;usp=drive_copy" TargetMode="External"/><Relationship Id="rId41" Type="http://schemas.openxmlformats.org/officeDocument/2006/relationships/hyperlink" Target="https://drive.google.com/open?id=1rmtnTBxlN4nGC7srgJcqIg2hR7pewEyO&amp;usp=drive_copy" TargetMode="External"/><Relationship Id="rId44" Type="http://schemas.openxmlformats.org/officeDocument/2006/relationships/hyperlink" Target="https://drive.google.com/open?id=1GlsmoXF9Wfk8jNhF5v0xR0QZtwyEcuVx&amp;usp=drive_copy" TargetMode="External"/><Relationship Id="rId43" Type="http://schemas.openxmlformats.org/officeDocument/2006/relationships/hyperlink" Target="https://drive.google.com/open?id=1iesPtkAzNZL2x72AOZ9ZnvIeeUFEMM27&amp;usp=drive_copy" TargetMode="External"/><Relationship Id="rId46" Type="http://schemas.openxmlformats.org/officeDocument/2006/relationships/hyperlink" Target="https://drive.google.com/drive/folders/1PJRM9Xi8zgROj0tuXxrE8e6CuT33deIt?usp=drive_link" TargetMode="External"/><Relationship Id="rId45" Type="http://schemas.openxmlformats.org/officeDocument/2006/relationships/hyperlink" Target="https://drive.google.com/open?id=1GlsmoXF9Wfk8jNhF5v0xR0QZtwyEcuVx&amp;usp=drive_copy" TargetMode="External"/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d5Jk_b-L3dYKl_krq-Mf5HWxEM0YLdD?usp=drive_link" TargetMode="External"/><Relationship Id="rId3" Type="http://schemas.openxmlformats.org/officeDocument/2006/relationships/hyperlink" Target="https://drive.google.com/drive/folders/1Zd5Jk_b-L3dYKl_krq-Mf5HWxEM0YLdD?usp=drive_link" TargetMode="External"/><Relationship Id="rId4" Type="http://schemas.openxmlformats.org/officeDocument/2006/relationships/hyperlink" Target="https://drive.google.com/drive/folders/1Hz1p-M5x8lNJ6S2f6l3cj8hFm8BQUQtf?usp=drive_link" TargetMode="External"/><Relationship Id="rId9" Type="http://schemas.openxmlformats.org/officeDocument/2006/relationships/hyperlink" Target="https://drive.google.com/drive/folders/1Hz1p-M5x8lNJ6S2f6l3cj8hFm8BQUQtf?usp=drive_link" TargetMode="External"/><Relationship Id="rId48" Type="http://schemas.openxmlformats.org/officeDocument/2006/relationships/hyperlink" Target="https://drive.google.com/open?id=1nwG_8Vh0lFHKQe5GTHWyJuVhm50KfMTR&amp;usp=drive_copy" TargetMode="External"/><Relationship Id="rId47" Type="http://schemas.openxmlformats.org/officeDocument/2006/relationships/hyperlink" Target="https://drive.google.com/drive/folders/1PJRM9Xi8zgROj0tuXxrE8e6CuT33deIt?usp=drive_link" TargetMode="External"/><Relationship Id="rId49" Type="http://schemas.openxmlformats.org/officeDocument/2006/relationships/hyperlink" Target="https://drive.google.com/open?id=1nwG_8Vh0lFHKQe5GTHWyJuVhm50KfMTR&amp;usp=drive_copy" TargetMode="External"/><Relationship Id="rId5" Type="http://schemas.openxmlformats.org/officeDocument/2006/relationships/hyperlink" Target="https://drive.google.com/drive/folders/1zVe9t-s1zzEA4IWrqU99D8ngLHc5RXMI?usp=drive_link" TargetMode="External"/><Relationship Id="rId6" Type="http://schemas.openxmlformats.org/officeDocument/2006/relationships/hyperlink" Target="https://drive.google.com/drive/folders/1Zd5Jk_b-L3dYKl_krq-Mf5HWxEM0YLdD?usp=drive_link" TargetMode="External"/><Relationship Id="rId7" Type="http://schemas.openxmlformats.org/officeDocument/2006/relationships/hyperlink" Target="https://drive.google.com/open?id=1Zr5CRkKEuDsAuPAz4Wb2D9WWW1-QCAHX&amp;usp=drive_copy" TargetMode="External"/><Relationship Id="rId8" Type="http://schemas.openxmlformats.org/officeDocument/2006/relationships/hyperlink" Target="https://drive.google.com/drive/folders/1Zd5Jk_b-L3dYKl_krq-Mf5HWxEM0YLdD?usp=drive_link" TargetMode="External"/><Relationship Id="rId31" Type="http://schemas.openxmlformats.org/officeDocument/2006/relationships/hyperlink" Target="https://drive.google.com/drive/folders/1YWIJEAsctC1a_I_fvRMQsNA2CJjC1BDM?usp=drive_link" TargetMode="External"/><Relationship Id="rId30" Type="http://schemas.openxmlformats.org/officeDocument/2006/relationships/hyperlink" Target="https://drive.google.com/open?id=1tMLhJQDLPaA4YNwUY7c5dL1Irfp5PygE&amp;usp=drive_copy" TargetMode="External"/><Relationship Id="rId33" Type="http://schemas.openxmlformats.org/officeDocument/2006/relationships/hyperlink" Target="https://drive.google.com/drive/folders/10VJRxsuM1h5BaieidbcmqT0hsPmrP9NP?usp=drive_link" TargetMode="External"/><Relationship Id="rId32" Type="http://schemas.openxmlformats.org/officeDocument/2006/relationships/hyperlink" Target="https://drive.google.com/drive/folders/10VJRxsuM1h5BaieidbcmqT0hsPmrP9NP?usp=drive_link" TargetMode="External"/><Relationship Id="rId35" Type="http://schemas.openxmlformats.org/officeDocument/2006/relationships/hyperlink" Target="https://drive.google.com/drive/folders/1DHyPflhOp-ZhFIryhQ_js9_T8u4gBpZP?usp=drive_link" TargetMode="External"/><Relationship Id="rId34" Type="http://schemas.openxmlformats.org/officeDocument/2006/relationships/hyperlink" Target="https://drive.google.com/drive/folders/1DHyPflhOp-ZhFIryhQ_js9_T8u4gBpZP?usp=drive_link" TargetMode="External"/><Relationship Id="rId37" Type="http://schemas.openxmlformats.org/officeDocument/2006/relationships/hyperlink" Target="https://drive.google.com/open?id=1eOytpkS3vwA-GpRqI0vn5_Ay83m-VcbI&amp;usp=drive_copy" TargetMode="External"/><Relationship Id="rId36" Type="http://schemas.openxmlformats.org/officeDocument/2006/relationships/hyperlink" Target="https://drive.google.com/open?id=1eOytpkS3vwA-GpRqI0vn5_Ay83m-VcbI&amp;usp=drive_copy" TargetMode="External"/><Relationship Id="rId39" Type="http://schemas.openxmlformats.org/officeDocument/2006/relationships/hyperlink" Target="https://drive.google.com/open?id=1pGwg3-dOOxoPYISWm66N0YNds7iDmqun&amp;usp=drive_copy" TargetMode="External"/><Relationship Id="rId38" Type="http://schemas.openxmlformats.org/officeDocument/2006/relationships/hyperlink" Target="https://drive.google.com/open?id=1pGwg3-dOOxoPYISWm66N0YNds7iDmqun&amp;usp=drive_copy" TargetMode="External"/><Relationship Id="rId62" Type="http://schemas.openxmlformats.org/officeDocument/2006/relationships/hyperlink" Target="https://drive.google.com/open?id=1tMLhJQDLPaA4YNwUY7c5dL1Irfp5PygE&amp;usp=drive_copy" TargetMode="External"/><Relationship Id="rId61" Type="http://schemas.openxmlformats.org/officeDocument/2006/relationships/hyperlink" Target="https://drive.google.com/drive/folders/1khFICOp46Tn1VxNITHAe6NqHMVxQP6Tz?usp=drive_link" TargetMode="External"/><Relationship Id="rId20" Type="http://schemas.openxmlformats.org/officeDocument/2006/relationships/hyperlink" Target="https://drive.google.com/drive/folders/1PJRM9Xi8zgROj0tuXxrE8e6CuT33deIt?usp=drive_link" TargetMode="External"/><Relationship Id="rId64" Type="http://schemas.openxmlformats.org/officeDocument/2006/relationships/hyperlink" Target="https://drive.google.com/drive/folders/1YWIJEAsctC1a_I_fvRMQsNA2CJjC1BDM?usp=drive_link" TargetMode="External"/><Relationship Id="rId63" Type="http://schemas.openxmlformats.org/officeDocument/2006/relationships/hyperlink" Target="https://drive.google.com/open?id=1tMLhJQDLPaA4YNwUY7c5dL1Irfp5PygE&amp;usp=drive_copy" TargetMode="External"/><Relationship Id="rId22" Type="http://schemas.openxmlformats.org/officeDocument/2006/relationships/hyperlink" Target="https://drive.google.com/open?id=1EVsA14-ymw5H5SEPpQ-Ec-s2J0Hbcxml&amp;usp=drive_copy" TargetMode="External"/><Relationship Id="rId66" Type="http://schemas.openxmlformats.org/officeDocument/2006/relationships/drawing" Target="../drawings/drawing2.xml"/><Relationship Id="rId21" Type="http://schemas.openxmlformats.org/officeDocument/2006/relationships/hyperlink" Target="https://drive.google.com/open?id=1nwG_8Vh0lFHKQe5GTHWyJuVhm50KfMTR&amp;usp=drive_copy" TargetMode="External"/><Relationship Id="rId65" Type="http://schemas.openxmlformats.org/officeDocument/2006/relationships/hyperlink" Target="https://drive.google.com/drive/folders/1YWIJEAsctC1a_I_fvRMQsNA2CJjC1BDM?usp=drive_link" TargetMode="External"/><Relationship Id="rId24" Type="http://schemas.openxmlformats.org/officeDocument/2006/relationships/hyperlink" Target="https://drive.google.com/open?id=1Zr5CRkKEuDsAuPAz4Wb2D9WWW1-QCAHX&amp;usp=drive_copy" TargetMode="External"/><Relationship Id="rId23" Type="http://schemas.openxmlformats.org/officeDocument/2006/relationships/hyperlink" Target="https://drive.google.com/open?id=1FjlDeQ5Ha-_P0LLRYWecFPoMj9_dUTZ1&amp;usp=drive_copy" TargetMode="External"/><Relationship Id="rId60" Type="http://schemas.openxmlformats.org/officeDocument/2006/relationships/hyperlink" Target="https://drive.google.com/drive/folders/1khFICOp46Tn1VxNITHAe6NqHMVxQP6Tz?usp=drive_link" TargetMode="External"/><Relationship Id="rId26" Type="http://schemas.openxmlformats.org/officeDocument/2006/relationships/hyperlink" Target="https://drive.google.com/open?id=1Zr5CRkKEuDsAuPAz4Wb2D9WWW1-QCAHX&amp;usp=drive_copy" TargetMode="External"/><Relationship Id="rId25" Type="http://schemas.openxmlformats.org/officeDocument/2006/relationships/hyperlink" Target="https://drive.google.com/open?id=12n9NnxBNW-mWVQBYAqIwSB0_ZYGiRmDG&amp;usp=drive_copy" TargetMode="External"/><Relationship Id="rId28" Type="http://schemas.openxmlformats.org/officeDocument/2006/relationships/hyperlink" Target="https://drive.google.com/open?id=1gjxViYu-XCwg9SLacp4mDX1GIWHO4-sK&amp;usp=drive_copy" TargetMode="External"/><Relationship Id="rId27" Type="http://schemas.openxmlformats.org/officeDocument/2006/relationships/hyperlink" Target="https://drive.google.com/open?id=1QV3kQeaeKktrFBddV9GKy9WD6-8uxB1S&amp;usp=drive_copy" TargetMode="External"/><Relationship Id="rId29" Type="http://schemas.openxmlformats.org/officeDocument/2006/relationships/hyperlink" Target="https://drive.google.com/drive/folders/1khFICOp46Tn1VxNITHAe6NqHMVxQP6Tz?usp=drive_link" TargetMode="External"/><Relationship Id="rId51" Type="http://schemas.openxmlformats.org/officeDocument/2006/relationships/hyperlink" Target="https://drive.google.com/open?id=1EVsA14-ymw5H5SEPpQ-Ec-s2J0Hbcxml&amp;usp=drive_copy" TargetMode="External"/><Relationship Id="rId50" Type="http://schemas.openxmlformats.org/officeDocument/2006/relationships/hyperlink" Target="https://drive.google.com/open?id=1EVsA14-ymw5H5SEPpQ-Ec-s2J0Hbcxml&amp;usp=drive_copy" TargetMode="External"/><Relationship Id="rId53" Type="http://schemas.openxmlformats.org/officeDocument/2006/relationships/hyperlink" Target="https://drive.google.com/open?id=1FjlDeQ5Ha-_P0LLRYWecFPoMj9_dUTZ1&amp;usp=drive_copy" TargetMode="External"/><Relationship Id="rId52" Type="http://schemas.openxmlformats.org/officeDocument/2006/relationships/hyperlink" Target="https://drive.google.com/open?id=1FjlDeQ5Ha-_P0LLRYWecFPoMj9_dUTZ1&amp;usp=drive_copy" TargetMode="External"/><Relationship Id="rId11" Type="http://schemas.openxmlformats.org/officeDocument/2006/relationships/hyperlink" Target="https://drive.google.com/drive/folders/1Hz1p-M5x8lNJ6S2f6l3cj8hFm8BQUQtf?usp=drive_link" TargetMode="External"/><Relationship Id="rId55" Type="http://schemas.openxmlformats.org/officeDocument/2006/relationships/hyperlink" Target="https://drive.google.com/open?id=12n9NnxBNW-mWVQBYAqIwSB0_ZYGiRmDG&amp;usp=drive_copy" TargetMode="External"/><Relationship Id="rId10" Type="http://schemas.openxmlformats.org/officeDocument/2006/relationships/hyperlink" Target="https://drive.google.com/drive/folders/10VJRxsuM1h5BaieidbcmqT0hsPmrP9NP?usp=drive_link" TargetMode="External"/><Relationship Id="rId54" Type="http://schemas.openxmlformats.org/officeDocument/2006/relationships/hyperlink" Target="https://drive.google.com/open?id=12n9NnxBNW-mWVQBYAqIwSB0_ZYGiRmDG&amp;usp=drive_copy" TargetMode="External"/><Relationship Id="rId13" Type="http://schemas.openxmlformats.org/officeDocument/2006/relationships/hyperlink" Target="https://drive.google.com/open?id=1eOytpkS3vwA-GpRqI0vn5_Ay83m-VcbI&amp;usp=drive_copy" TargetMode="External"/><Relationship Id="rId57" Type="http://schemas.openxmlformats.org/officeDocument/2006/relationships/hyperlink" Target="https://drive.google.com/open?id=1QV3kQeaeKktrFBddV9GKy9WD6-8uxB1S&amp;usp=drive_copy" TargetMode="External"/><Relationship Id="rId12" Type="http://schemas.openxmlformats.org/officeDocument/2006/relationships/hyperlink" Target="https://drive.google.com/drive/folders/1DHyPflhOp-ZhFIryhQ_js9_T8u4gBpZP?usp=drive_link" TargetMode="External"/><Relationship Id="rId56" Type="http://schemas.openxmlformats.org/officeDocument/2006/relationships/hyperlink" Target="https://drive.google.com/open?id=1QV3kQeaeKktrFBddV9GKy9WD6-8uxB1S&amp;usp=drive_copy" TargetMode="External"/><Relationship Id="rId15" Type="http://schemas.openxmlformats.org/officeDocument/2006/relationships/hyperlink" Target="https://drive.google.com/open?id=1rmtnTBxlN4nGC7srgJcqIg2hR7pewEyO&amp;usp=drive_copy" TargetMode="External"/><Relationship Id="rId59" Type="http://schemas.openxmlformats.org/officeDocument/2006/relationships/hyperlink" Target="https://drive.google.com/open?id=1gjxViYu-XCwg9SLacp4mDX1GIWHO4-sK&amp;usp=drive_copy" TargetMode="External"/><Relationship Id="rId14" Type="http://schemas.openxmlformats.org/officeDocument/2006/relationships/hyperlink" Target="https://drive.google.com/open?id=1pGwg3-dOOxoPYISWm66N0YNds7iDmqun&amp;usp=drive_copy" TargetMode="External"/><Relationship Id="rId58" Type="http://schemas.openxmlformats.org/officeDocument/2006/relationships/hyperlink" Target="https://drive.google.com/open?id=1gjxViYu-XCwg9SLacp4mDX1GIWHO4-sK&amp;usp=drive_copy" TargetMode="External"/><Relationship Id="rId17" Type="http://schemas.openxmlformats.org/officeDocument/2006/relationships/hyperlink" Target="https://drive.google.com/open?id=1iesPtkAzNZL2x72AOZ9ZnvIeeUFEMM27&amp;usp=drive_copy" TargetMode="External"/><Relationship Id="rId16" Type="http://schemas.openxmlformats.org/officeDocument/2006/relationships/hyperlink" Target="https://drive.google.com/drive/folders/1zVe9t-s1zzEA4IWrqU99D8ngLHc5RXMI?usp=drive_link" TargetMode="External"/><Relationship Id="rId19" Type="http://schemas.openxmlformats.org/officeDocument/2006/relationships/hyperlink" Target="https://drive.google.com/open?id=1GlsmoXF9Wfk8jNhF5v0xR0QZtwyEcuVx&amp;usp=drive_copy" TargetMode="External"/><Relationship Id="rId18" Type="http://schemas.openxmlformats.org/officeDocument/2006/relationships/hyperlink" Target="https://drive.google.com/drive/folders/1zVe9t-s1zzEA4IWrqU99D8ngLHc5RXMI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z1p-M5x8lNJ6S2f6l3cj8hFm8BQUQtf?usp=drive_link" TargetMode="External"/><Relationship Id="rId2" Type="http://schemas.openxmlformats.org/officeDocument/2006/relationships/hyperlink" Target="https://drive.google.com/open?id=1Zr5CRkKEuDsAuPAz4Wb2D9WWW1-QCAHX&amp;usp=drive_copy" TargetMode="External"/><Relationship Id="rId3" Type="http://schemas.openxmlformats.org/officeDocument/2006/relationships/hyperlink" Target="https://drive.google.com/open?id=14_SXrPyfbwy-Y25VDQbALH3HAEGTLtau&amp;usp=drive_copy" TargetMode="External"/><Relationship Id="rId4" Type="http://schemas.openxmlformats.org/officeDocument/2006/relationships/hyperlink" Target="https://drive.google.com/drive/folders/10VJRxsuM1h5BaieidbcmqT0hsPmrP9NP?usp=drive_link" TargetMode="External"/><Relationship Id="rId9" Type="http://schemas.openxmlformats.org/officeDocument/2006/relationships/hyperlink" Target="https://drive.google.com/drive/folders/1PJRM9Xi8zgROj0tuXxrE8e6CuT33deIt?usp=drive_link" TargetMode="External"/><Relationship Id="rId5" Type="http://schemas.openxmlformats.org/officeDocument/2006/relationships/hyperlink" Target="https://drive.google.com/open?id=1pGwg3-dOOxoPYISWm66N0YNds7iDmqun&amp;usp=drive_copy" TargetMode="External"/><Relationship Id="rId6" Type="http://schemas.openxmlformats.org/officeDocument/2006/relationships/hyperlink" Target="https://drive.google.com/open?id=1rmtnTBxlN4nGC7srgJcqIg2hR7pewEyO&amp;usp=drive_copy" TargetMode="External"/><Relationship Id="rId7" Type="http://schemas.openxmlformats.org/officeDocument/2006/relationships/hyperlink" Target="https://drive.google.com/open?id=1iesPtkAzNZL2x72AOZ9ZnvIeeUFEMM27&amp;usp=drive_copy" TargetMode="External"/><Relationship Id="rId8" Type="http://schemas.openxmlformats.org/officeDocument/2006/relationships/hyperlink" Target="https://drive.google.com/open?id=1GlsmoXF9Wfk8jNhF5v0xR0QZtwyEcuVx&amp;usp=drive_copy" TargetMode="External"/><Relationship Id="rId11" Type="http://schemas.openxmlformats.org/officeDocument/2006/relationships/hyperlink" Target="https://drive.google.com/open?id=1FjlDeQ5Ha-_P0LLRYWecFPoMj9_dUTZ1&amp;usp=drive_copy" TargetMode="External"/><Relationship Id="rId10" Type="http://schemas.openxmlformats.org/officeDocument/2006/relationships/hyperlink" Target="https://drive.google.com/open?id=1EVsA14-ymw5H5SEPpQ-Ec-s2J0Hbcxml&amp;usp=drive_copy" TargetMode="External"/><Relationship Id="rId13" Type="http://schemas.openxmlformats.org/officeDocument/2006/relationships/hyperlink" Target="https://drive.google.com/open?id=1QV3kQeaeKktrFBddV9GKy9WD6-8uxB1S&amp;usp=drive_copy" TargetMode="External"/><Relationship Id="rId12" Type="http://schemas.openxmlformats.org/officeDocument/2006/relationships/hyperlink" Target="https://drive.google.com/open?id=12n9NnxBNW-mWVQBYAqIwSB0_ZYGiRmDG&amp;usp=drive_copy" TargetMode="External"/><Relationship Id="rId15" Type="http://schemas.openxmlformats.org/officeDocument/2006/relationships/hyperlink" Target="https://drive.google.com/drive/folders/1khFICOp46Tn1VxNITHAe6NqHMVxQP6Tz?usp=drive_link" TargetMode="External"/><Relationship Id="rId14" Type="http://schemas.openxmlformats.org/officeDocument/2006/relationships/hyperlink" Target="https://drive.google.com/open?id=1gjxViYu-XCwg9SLacp4mDX1GIWHO4-sK&amp;usp=drive_copy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drive.google.com/open?id=1tMLhJQDLPaA4YNwUY7c5dL1Irfp5PygE&amp;usp=drive_copy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mtnTBxlN4nGC7srgJcqIg2hR7pewEyO&amp;usp=drive_copy" TargetMode="External"/><Relationship Id="rId42" Type="http://schemas.openxmlformats.org/officeDocument/2006/relationships/hyperlink" Target="https://drive.google.com/open?id=1iesPtkAzNZL2x72AOZ9ZnvIeeUFEMM27&amp;usp=drive_copy" TargetMode="External"/><Relationship Id="rId41" Type="http://schemas.openxmlformats.org/officeDocument/2006/relationships/hyperlink" Target="https://drive.google.com/open?id=1rmtnTBxlN4nGC7srgJcqIg2hR7pewEyO&amp;usp=drive_copy" TargetMode="External"/><Relationship Id="rId44" Type="http://schemas.openxmlformats.org/officeDocument/2006/relationships/hyperlink" Target="https://drive.google.com/open?id=1GlsmoXF9Wfk8jNhF5v0xR0QZtwyEcuVx&amp;usp=drive_copy" TargetMode="External"/><Relationship Id="rId43" Type="http://schemas.openxmlformats.org/officeDocument/2006/relationships/hyperlink" Target="https://drive.google.com/open?id=1iesPtkAzNZL2x72AOZ9ZnvIeeUFEMM27&amp;usp=drive_copy" TargetMode="External"/><Relationship Id="rId46" Type="http://schemas.openxmlformats.org/officeDocument/2006/relationships/hyperlink" Target="https://drive.google.com/drive/folders/1PJRM9Xi8zgROj0tuXxrE8e6CuT33deIt?usp=drive_link" TargetMode="External"/><Relationship Id="rId45" Type="http://schemas.openxmlformats.org/officeDocument/2006/relationships/hyperlink" Target="https://drive.google.com/open?id=1GlsmoXF9Wfk8jNhF5v0xR0QZtwyEcuVx&amp;usp=drive_copy" TargetMode="External"/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d5Jk_b-L3dYKl_krq-Mf5HWxEM0YLdD?usp=drive_link" TargetMode="External"/><Relationship Id="rId3" Type="http://schemas.openxmlformats.org/officeDocument/2006/relationships/hyperlink" Target="https://drive.google.com/drive/folders/1Zd5Jk_b-L3dYKl_krq-Mf5HWxEM0YLdD?usp=drive_link" TargetMode="External"/><Relationship Id="rId4" Type="http://schemas.openxmlformats.org/officeDocument/2006/relationships/hyperlink" Target="https://drive.google.com/drive/folders/1Hz1p-M5x8lNJ6S2f6l3cj8hFm8BQUQtf?usp=drive_link" TargetMode="External"/><Relationship Id="rId9" Type="http://schemas.openxmlformats.org/officeDocument/2006/relationships/hyperlink" Target="https://drive.google.com/drive/folders/10VJRxsuM1h5BaieidbcmqT0hsPmrP9NP?usp=drive_link" TargetMode="External"/><Relationship Id="rId48" Type="http://schemas.openxmlformats.org/officeDocument/2006/relationships/hyperlink" Target="https://drive.google.com/open?id=1nwG_8Vh0lFHKQe5GTHWyJuVhm50KfMTR&amp;usp=drive_copy" TargetMode="External"/><Relationship Id="rId47" Type="http://schemas.openxmlformats.org/officeDocument/2006/relationships/hyperlink" Target="https://drive.google.com/drive/folders/1PJRM9Xi8zgROj0tuXxrE8e6CuT33deIt?usp=drive_link" TargetMode="External"/><Relationship Id="rId49" Type="http://schemas.openxmlformats.org/officeDocument/2006/relationships/hyperlink" Target="https://drive.google.com/open?id=1nwG_8Vh0lFHKQe5GTHWyJuVhm50KfMTR&amp;usp=drive_copy" TargetMode="External"/><Relationship Id="rId5" Type="http://schemas.openxmlformats.org/officeDocument/2006/relationships/hyperlink" Target="https://drive.google.com/drive/folders/1zVe9t-s1zzEA4IWrqU99D8ngLHc5RXMI?usp=drive_link" TargetMode="External"/><Relationship Id="rId6" Type="http://schemas.openxmlformats.org/officeDocument/2006/relationships/hyperlink" Target="https://drive.google.com/drive/folders/1Zd5Jk_b-L3dYKl_krq-Mf5HWxEM0YLdD?usp=drive_link" TargetMode="External"/><Relationship Id="rId7" Type="http://schemas.openxmlformats.org/officeDocument/2006/relationships/hyperlink" Target="https://drive.google.com/open?id=1Zr5CRkKEuDsAuPAz4Wb2D9WWW1-QCAHX&amp;usp=drive_copy" TargetMode="External"/><Relationship Id="rId8" Type="http://schemas.openxmlformats.org/officeDocument/2006/relationships/hyperlink" Target="https://drive.google.com/drive/folders/1Zd5Jk_b-L3dYKl_krq-Mf5HWxEM0YLdD?usp=drive_link" TargetMode="External"/><Relationship Id="rId31" Type="http://schemas.openxmlformats.org/officeDocument/2006/relationships/hyperlink" Target="https://drive.google.com/drive/folders/1YWIJEAsctC1a_I_fvRMQsNA2CJjC1BDM?usp=drive_link" TargetMode="External"/><Relationship Id="rId30" Type="http://schemas.openxmlformats.org/officeDocument/2006/relationships/hyperlink" Target="https://drive.google.com/open?id=1tMLhJQDLPaA4YNwUY7c5dL1Irfp5PygE&amp;usp=drive_copy" TargetMode="External"/><Relationship Id="rId33" Type="http://schemas.openxmlformats.org/officeDocument/2006/relationships/hyperlink" Target="https://drive.google.com/drive/folders/10VJRxsuM1h5BaieidbcmqT0hsPmrP9NP?usp=drive_link" TargetMode="External"/><Relationship Id="rId32" Type="http://schemas.openxmlformats.org/officeDocument/2006/relationships/hyperlink" Target="https://drive.google.com/drive/folders/10VJRxsuM1h5BaieidbcmqT0hsPmrP9NP?usp=drive_link" TargetMode="External"/><Relationship Id="rId35" Type="http://schemas.openxmlformats.org/officeDocument/2006/relationships/hyperlink" Target="https://drive.google.com/drive/folders/1DHyPflhOp-ZhFIryhQ_js9_T8u4gBpZP?usp=drive_link" TargetMode="External"/><Relationship Id="rId34" Type="http://schemas.openxmlformats.org/officeDocument/2006/relationships/hyperlink" Target="https://drive.google.com/drive/folders/1DHyPflhOp-ZhFIryhQ_js9_T8u4gBpZP?usp=drive_link" TargetMode="External"/><Relationship Id="rId37" Type="http://schemas.openxmlformats.org/officeDocument/2006/relationships/hyperlink" Target="https://drive.google.com/open?id=1eOytpkS3vwA-GpRqI0vn5_Ay83m-VcbI&amp;usp=drive_copy" TargetMode="External"/><Relationship Id="rId36" Type="http://schemas.openxmlformats.org/officeDocument/2006/relationships/hyperlink" Target="https://drive.google.com/open?id=1eOytpkS3vwA-GpRqI0vn5_Ay83m-VcbI&amp;usp=drive_copy" TargetMode="External"/><Relationship Id="rId39" Type="http://schemas.openxmlformats.org/officeDocument/2006/relationships/hyperlink" Target="https://drive.google.com/open?id=1pGwg3-dOOxoPYISWm66N0YNds7iDmqun&amp;usp=drive_copy" TargetMode="External"/><Relationship Id="rId38" Type="http://schemas.openxmlformats.org/officeDocument/2006/relationships/hyperlink" Target="https://drive.google.com/open?id=1pGwg3-dOOxoPYISWm66N0YNds7iDmqun&amp;usp=drive_copy" TargetMode="External"/><Relationship Id="rId62" Type="http://schemas.openxmlformats.org/officeDocument/2006/relationships/hyperlink" Target="https://drive.google.com/open?id=1tMLhJQDLPaA4YNwUY7c5dL1Irfp5PygE&amp;usp=drive_copy" TargetMode="External"/><Relationship Id="rId61" Type="http://schemas.openxmlformats.org/officeDocument/2006/relationships/hyperlink" Target="https://drive.google.com/drive/folders/1khFICOp46Tn1VxNITHAe6NqHMVxQP6Tz?usp=drive_link" TargetMode="External"/><Relationship Id="rId20" Type="http://schemas.openxmlformats.org/officeDocument/2006/relationships/hyperlink" Target="https://drive.google.com/drive/folders/1PJRM9Xi8zgROj0tuXxrE8e6CuT33deIt?usp=drive_link" TargetMode="External"/><Relationship Id="rId64" Type="http://schemas.openxmlformats.org/officeDocument/2006/relationships/hyperlink" Target="https://drive.google.com/drive/folders/1YWIJEAsctC1a_I_fvRMQsNA2CJjC1BDM?usp=drive_link" TargetMode="External"/><Relationship Id="rId63" Type="http://schemas.openxmlformats.org/officeDocument/2006/relationships/hyperlink" Target="https://drive.google.com/open?id=1tMLhJQDLPaA4YNwUY7c5dL1Irfp5PygE&amp;usp=drive_copy" TargetMode="External"/><Relationship Id="rId22" Type="http://schemas.openxmlformats.org/officeDocument/2006/relationships/hyperlink" Target="https://drive.google.com/open?id=1EVsA14-ymw5H5SEPpQ-Ec-s2J0Hbcxml&amp;usp=drive_copy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s://drive.google.com/open?id=1nwG_8Vh0lFHKQe5GTHWyJuVhm50KfMTR&amp;usp=drive_copy" TargetMode="External"/><Relationship Id="rId65" Type="http://schemas.openxmlformats.org/officeDocument/2006/relationships/hyperlink" Target="https://drive.google.com/drive/folders/1YWIJEAsctC1a_I_fvRMQsNA2CJjC1BDM?usp=drive_link" TargetMode="External"/><Relationship Id="rId24" Type="http://schemas.openxmlformats.org/officeDocument/2006/relationships/hyperlink" Target="https://drive.google.com/open?id=12n9NnxBNW-mWVQBYAqIwSB0_ZYGiRmDG&amp;usp=drive_copy" TargetMode="External"/><Relationship Id="rId23" Type="http://schemas.openxmlformats.org/officeDocument/2006/relationships/hyperlink" Target="https://drive.google.com/open?id=1FjlDeQ5Ha-_P0LLRYWecFPoMj9_dUTZ1&amp;usp=drive_copy" TargetMode="External"/><Relationship Id="rId60" Type="http://schemas.openxmlformats.org/officeDocument/2006/relationships/hyperlink" Target="https://drive.google.com/drive/folders/1khFICOp46Tn1VxNITHAe6NqHMVxQP6Tz?usp=drive_link" TargetMode="External"/><Relationship Id="rId26" Type="http://schemas.openxmlformats.org/officeDocument/2006/relationships/hyperlink" Target="https://drive.google.com/open?id=1QV3kQeaeKktrFBddV9GKy9WD6-8uxB1S&amp;usp=drive_copy" TargetMode="External"/><Relationship Id="rId25" Type="http://schemas.openxmlformats.org/officeDocument/2006/relationships/hyperlink" Target="https://drive.google.com/open?id=1Zr5CRkKEuDsAuPAz4Wb2D9WWW1-QCAHX&amp;usp=drive_copy" TargetMode="External"/><Relationship Id="rId28" Type="http://schemas.openxmlformats.org/officeDocument/2006/relationships/hyperlink" Target="https://drive.google.com/open?id=1gjxViYu-XCwg9SLacp4mDX1GIWHO4-sK&amp;usp=drive_copy" TargetMode="External"/><Relationship Id="rId27" Type="http://schemas.openxmlformats.org/officeDocument/2006/relationships/hyperlink" Target="https://drive.google.com/open?id=1Zr5CRkKEuDsAuPAz4Wb2D9WWW1-QCAHX&amp;usp=drive_copy" TargetMode="External"/><Relationship Id="rId29" Type="http://schemas.openxmlformats.org/officeDocument/2006/relationships/hyperlink" Target="https://drive.google.com/drive/folders/1khFICOp46Tn1VxNITHAe6NqHMVxQP6Tz?usp=drive_link" TargetMode="External"/><Relationship Id="rId51" Type="http://schemas.openxmlformats.org/officeDocument/2006/relationships/hyperlink" Target="https://drive.google.com/open?id=1EVsA14-ymw5H5SEPpQ-Ec-s2J0Hbcxml&amp;usp=drive_copy" TargetMode="External"/><Relationship Id="rId50" Type="http://schemas.openxmlformats.org/officeDocument/2006/relationships/hyperlink" Target="https://drive.google.com/open?id=1EVsA14-ymw5H5SEPpQ-Ec-s2J0Hbcxml&amp;usp=drive_copy" TargetMode="External"/><Relationship Id="rId53" Type="http://schemas.openxmlformats.org/officeDocument/2006/relationships/hyperlink" Target="https://drive.google.com/open?id=1FjlDeQ5Ha-_P0LLRYWecFPoMj9_dUTZ1&amp;usp=drive_copy" TargetMode="External"/><Relationship Id="rId52" Type="http://schemas.openxmlformats.org/officeDocument/2006/relationships/hyperlink" Target="https://drive.google.com/open?id=1FjlDeQ5Ha-_P0LLRYWecFPoMj9_dUTZ1&amp;usp=drive_copy" TargetMode="External"/><Relationship Id="rId11" Type="http://schemas.openxmlformats.org/officeDocument/2006/relationships/hyperlink" Target="https://drive.google.com/drive/folders/1DHyPflhOp-ZhFIryhQ_js9_T8u4gBpZP?usp=drive_link" TargetMode="External"/><Relationship Id="rId55" Type="http://schemas.openxmlformats.org/officeDocument/2006/relationships/hyperlink" Target="https://drive.google.com/open?id=12n9NnxBNW-mWVQBYAqIwSB0_ZYGiRmDG&amp;usp=drive_copy" TargetMode="External"/><Relationship Id="rId10" Type="http://schemas.openxmlformats.org/officeDocument/2006/relationships/hyperlink" Target="https://drive.google.com/drive/folders/1Hz1p-M5x8lNJ6S2f6l3cj8hFm8BQUQtf?usp=drive_link" TargetMode="External"/><Relationship Id="rId54" Type="http://schemas.openxmlformats.org/officeDocument/2006/relationships/hyperlink" Target="https://drive.google.com/open?id=12n9NnxBNW-mWVQBYAqIwSB0_ZYGiRmDG&amp;usp=drive_copy" TargetMode="External"/><Relationship Id="rId13" Type="http://schemas.openxmlformats.org/officeDocument/2006/relationships/hyperlink" Target="https://drive.google.com/open?id=1eOytpkS3vwA-GpRqI0vn5_Ay83m-VcbI&amp;usp=drive_copy" TargetMode="External"/><Relationship Id="rId57" Type="http://schemas.openxmlformats.org/officeDocument/2006/relationships/hyperlink" Target="https://drive.google.com/open?id=1QV3kQeaeKktrFBddV9GKy9WD6-8uxB1S&amp;usp=drive_copy" TargetMode="External"/><Relationship Id="rId12" Type="http://schemas.openxmlformats.org/officeDocument/2006/relationships/hyperlink" Target="https://drive.google.com/drive/folders/1Hz1p-M5x8lNJ6S2f6l3cj8hFm8BQUQtf?usp=drive_link" TargetMode="External"/><Relationship Id="rId56" Type="http://schemas.openxmlformats.org/officeDocument/2006/relationships/hyperlink" Target="https://drive.google.com/open?id=1QV3kQeaeKktrFBddV9GKy9WD6-8uxB1S&amp;usp=drive_copy" TargetMode="External"/><Relationship Id="rId15" Type="http://schemas.openxmlformats.org/officeDocument/2006/relationships/hyperlink" Target="https://drive.google.com/open?id=1rmtnTBxlN4nGC7srgJcqIg2hR7pewEyO&amp;usp=drive_copy" TargetMode="External"/><Relationship Id="rId59" Type="http://schemas.openxmlformats.org/officeDocument/2006/relationships/hyperlink" Target="https://drive.google.com/open?id=1gjxViYu-XCwg9SLacp4mDX1GIWHO4-sK&amp;usp=drive_copy" TargetMode="External"/><Relationship Id="rId14" Type="http://schemas.openxmlformats.org/officeDocument/2006/relationships/hyperlink" Target="https://drive.google.com/open?id=1pGwg3-dOOxoPYISWm66N0YNds7iDmqun&amp;usp=drive_copy" TargetMode="External"/><Relationship Id="rId58" Type="http://schemas.openxmlformats.org/officeDocument/2006/relationships/hyperlink" Target="https://drive.google.com/open?id=1gjxViYu-XCwg9SLacp4mDX1GIWHO4-sK&amp;usp=drive_copy" TargetMode="External"/><Relationship Id="rId17" Type="http://schemas.openxmlformats.org/officeDocument/2006/relationships/hyperlink" Target="https://drive.google.com/drive/folders/1zVe9t-s1zzEA4IWrqU99D8ngLHc5RXMI?usp=drive_link" TargetMode="External"/><Relationship Id="rId16" Type="http://schemas.openxmlformats.org/officeDocument/2006/relationships/hyperlink" Target="https://drive.google.com/open?id=1iesPtkAzNZL2x72AOZ9ZnvIeeUFEMM27&amp;usp=drive_copy" TargetMode="External"/><Relationship Id="rId19" Type="http://schemas.openxmlformats.org/officeDocument/2006/relationships/hyperlink" Target="https://drive.google.com/drive/folders/1zVe9t-s1zzEA4IWrqU99D8ngLHc5RXMI?usp=drive_link" TargetMode="External"/><Relationship Id="rId18" Type="http://schemas.openxmlformats.org/officeDocument/2006/relationships/hyperlink" Target="https://drive.google.com/open?id=1GlsmoXF9Wfk8jNhF5v0xR0QZtwyEcuVx&amp;usp=drive_copy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mtnTBxlN4nGC7srgJcqIg2hR7pewEyO&amp;usp=drive_copy" TargetMode="External"/><Relationship Id="rId42" Type="http://schemas.openxmlformats.org/officeDocument/2006/relationships/hyperlink" Target="https://drive.google.com/open?id=1iesPtkAzNZL2x72AOZ9ZnvIeeUFEMM27&amp;usp=drive_copy" TargetMode="External"/><Relationship Id="rId41" Type="http://schemas.openxmlformats.org/officeDocument/2006/relationships/hyperlink" Target="https://drive.google.com/open?id=1iesPtkAzNZL2x72AOZ9ZnvIeeUFEMM27&amp;usp=drive_copy" TargetMode="External"/><Relationship Id="rId44" Type="http://schemas.openxmlformats.org/officeDocument/2006/relationships/hyperlink" Target="https://drive.google.com/open?id=1GlsmoXF9Wfk8jNhF5v0xR0QZtwyEcuVx&amp;usp=drive_copy" TargetMode="External"/><Relationship Id="rId43" Type="http://schemas.openxmlformats.org/officeDocument/2006/relationships/hyperlink" Target="https://drive.google.com/open?id=1GlsmoXF9Wfk8jNhF5v0xR0QZtwyEcuVx&amp;usp=drive_copy" TargetMode="External"/><Relationship Id="rId46" Type="http://schemas.openxmlformats.org/officeDocument/2006/relationships/hyperlink" Target="https://drive.google.com/drive/folders/1PJRM9Xi8zgROj0tuXxrE8e6CuT33deIt?usp=drive_link" TargetMode="External"/><Relationship Id="rId45" Type="http://schemas.openxmlformats.org/officeDocument/2006/relationships/hyperlink" Target="https://drive.google.com/drive/folders/1PJRM9Xi8zgROj0tuXxrE8e6CuT33deIt?usp=drive_link" TargetMode="External"/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d5Jk_b-L3dYKl_krq-Mf5HWxEM0YLdD?usp=drive_link" TargetMode="External"/><Relationship Id="rId3" Type="http://schemas.openxmlformats.org/officeDocument/2006/relationships/hyperlink" Target="https://drive.google.com/drive/folders/1Zd5Jk_b-L3dYKl_krq-Mf5HWxEM0YLdD?usp=drive_link" TargetMode="External"/><Relationship Id="rId4" Type="http://schemas.openxmlformats.org/officeDocument/2006/relationships/hyperlink" Target="https://drive.google.com/drive/folders/1zVe9t-s1zzEA4IWrqU99D8ngLHc5RXMI?usp=drive_link" TargetMode="External"/><Relationship Id="rId9" Type="http://schemas.openxmlformats.org/officeDocument/2006/relationships/hyperlink" Target="https://drive.google.com/drive/folders/1Hz1p-M5x8lNJ6S2f6l3cj8hFm8BQUQtf?usp=drive_link" TargetMode="External"/><Relationship Id="rId48" Type="http://schemas.openxmlformats.org/officeDocument/2006/relationships/hyperlink" Target="https://drive.google.com/open?id=1nwG_8Vh0lFHKQe5GTHWyJuVhm50KfMTR&amp;usp=drive_copy" TargetMode="External"/><Relationship Id="rId47" Type="http://schemas.openxmlformats.org/officeDocument/2006/relationships/hyperlink" Target="https://drive.google.com/open?id=1nwG_8Vh0lFHKQe5GTHWyJuVhm50KfMTR&amp;usp=drive_copy" TargetMode="External"/><Relationship Id="rId49" Type="http://schemas.openxmlformats.org/officeDocument/2006/relationships/hyperlink" Target="https://drive.google.com/open?id=1EVsA14-ymw5H5SEPpQ-Ec-s2J0Hbcxml&amp;usp=drive_copy" TargetMode="External"/><Relationship Id="rId5" Type="http://schemas.openxmlformats.org/officeDocument/2006/relationships/hyperlink" Target="https://drive.google.com/drive/folders/1Zd5Jk_b-L3dYKl_krq-Mf5HWxEM0YLdD?usp=drive_link" TargetMode="External"/><Relationship Id="rId6" Type="http://schemas.openxmlformats.org/officeDocument/2006/relationships/hyperlink" Target="https://drive.google.com/open?id=1Zr5CRkKEuDsAuPAz4Wb2D9WWW1-QCAHX&amp;usp=drive_copy" TargetMode="External"/><Relationship Id="rId7" Type="http://schemas.openxmlformats.org/officeDocument/2006/relationships/hyperlink" Target="https://drive.google.com/drive/folders/1Zd5Jk_b-L3dYKl_krq-Mf5HWxEM0YLdD?usp=drive_link" TargetMode="External"/><Relationship Id="rId8" Type="http://schemas.openxmlformats.org/officeDocument/2006/relationships/hyperlink" Target="https://drive.google.com/drive/folders/10VJRxsuM1h5BaieidbcmqT0hsPmrP9NP?usp=drive_link" TargetMode="External"/><Relationship Id="rId31" Type="http://schemas.openxmlformats.org/officeDocument/2006/relationships/hyperlink" Target="https://drive.google.com/open?id=1tMLhJQDLPaA4YNwUY7c5dL1Irfp5PygE&amp;usp=drive_copy" TargetMode="External"/><Relationship Id="rId30" Type="http://schemas.openxmlformats.org/officeDocument/2006/relationships/hyperlink" Target="https://drive.google.com/drive/folders/1khFICOp46Tn1VxNITHAe6NqHMVxQP6Tz?usp=drive_link" TargetMode="External"/><Relationship Id="rId33" Type="http://schemas.openxmlformats.org/officeDocument/2006/relationships/hyperlink" Target="https://drive.google.com/drive/folders/1DHyPflhOp-ZhFIryhQ_js9_T8u4gBpZP?usp=drive_link" TargetMode="External"/><Relationship Id="rId32" Type="http://schemas.openxmlformats.org/officeDocument/2006/relationships/hyperlink" Target="https://drive.google.com/drive/folders/1YWIJEAsctC1a_I_fvRMQsNA2CJjC1BDM?usp=drive_link" TargetMode="External"/><Relationship Id="rId35" Type="http://schemas.openxmlformats.org/officeDocument/2006/relationships/hyperlink" Target="https://drive.google.com/open?id=1eOytpkS3vwA-GpRqI0vn5_Ay83m-VcbI&amp;usp=drive_copy" TargetMode="External"/><Relationship Id="rId34" Type="http://schemas.openxmlformats.org/officeDocument/2006/relationships/hyperlink" Target="https://drive.google.com/drive/folders/1DHyPflhOp-ZhFIryhQ_js9_T8u4gBpZP?usp=drive_link" TargetMode="External"/><Relationship Id="rId37" Type="http://schemas.openxmlformats.org/officeDocument/2006/relationships/hyperlink" Target="https://drive.google.com/open?id=1pGwg3-dOOxoPYISWm66N0YNds7iDmqun&amp;usp=drive_copy" TargetMode="External"/><Relationship Id="rId36" Type="http://schemas.openxmlformats.org/officeDocument/2006/relationships/hyperlink" Target="https://drive.google.com/open?id=1eOytpkS3vwA-GpRqI0vn5_Ay83m-VcbI&amp;usp=drive_copy" TargetMode="External"/><Relationship Id="rId39" Type="http://schemas.openxmlformats.org/officeDocument/2006/relationships/hyperlink" Target="https://drive.google.com/open?id=1rmtnTBxlN4nGC7srgJcqIg2hR7pewEyO&amp;usp=drive_copy" TargetMode="External"/><Relationship Id="rId38" Type="http://schemas.openxmlformats.org/officeDocument/2006/relationships/hyperlink" Target="https://drive.google.com/open?id=1pGwg3-dOOxoPYISWm66N0YNds7iDmqun&amp;usp=drive_copy" TargetMode="External"/><Relationship Id="rId62" Type="http://schemas.openxmlformats.org/officeDocument/2006/relationships/hyperlink" Target="https://drive.google.com/open?id=1tMLhJQDLPaA4YNwUY7c5dL1Irfp5PygE&amp;usp=drive_copy" TargetMode="External"/><Relationship Id="rId61" Type="http://schemas.openxmlformats.org/officeDocument/2006/relationships/hyperlink" Target="https://drive.google.com/open?id=1tMLhJQDLPaA4YNwUY7c5dL1Irfp5PygE&amp;usp=drive_copy" TargetMode="External"/><Relationship Id="rId20" Type="http://schemas.openxmlformats.org/officeDocument/2006/relationships/hyperlink" Target="https://drive.google.com/drive/folders/1PJRM9Xi8zgROj0tuXxrE8e6CuT33deIt?usp=drive_link" TargetMode="External"/><Relationship Id="rId64" Type="http://schemas.openxmlformats.org/officeDocument/2006/relationships/hyperlink" Target="https://drive.google.com/drive/folders/1YWIJEAsctC1a_I_fvRMQsNA2CJjC1BDM?usp=drive_link" TargetMode="External"/><Relationship Id="rId63" Type="http://schemas.openxmlformats.org/officeDocument/2006/relationships/hyperlink" Target="https://drive.google.com/drive/folders/1YWIJEAsctC1a_I_fvRMQsNA2CJjC1BDM?usp=drive_link" TargetMode="External"/><Relationship Id="rId22" Type="http://schemas.openxmlformats.org/officeDocument/2006/relationships/hyperlink" Target="https://drive.google.com/open?id=1nwG_8Vh0lFHKQe5GTHWyJuVhm50KfMTR&amp;usp=drive_copy" TargetMode="External"/><Relationship Id="rId21" Type="http://schemas.openxmlformats.org/officeDocument/2006/relationships/hyperlink" Target="https://drive.google.com/open?id=1Zr5CRkKEuDsAuPAz4Wb2D9WWW1-QCAHX&amp;usp=drive_copy" TargetMode="External"/><Relationship Id="rId65" Type="http://schemas.openxmlformats.org/officeDocument/2006/relationships/drawing" Target="../drawings/drawing6.xml"/><Relationship Id="rId24" Type="http://schemas.openxmlformats.org/officeDocument/2006/relationships/hyperlink" Target="https://drive.google.com/open?id=1FjlDeQ5Ha-_P0LLRYWecFPoMj9_dUTZ1&amp;usp=drive_copy" TargetMode="External"/><Relationship Id="rId23" Type="http://schemas.openxmlformats.org/officeDocument/2006/relationships/hyperlink" Target="https://drive.google.com/open?id=1EVsA14-ymw5H5SEPpQ-Ec-s2J0Hbcxml&amp;usp=drive_copy" TargetMode="External"/><Relationship Id="rId60" Type="http://schemas.openxmlformats.org/officeDocument/2006/relationships/hyperlink" Target="https://drive.google.com/drive/folders/1khFICOp46Tn1VxNITHAe6NqHMVxQP6Tz?usp=drive_link" TargetMode="External"/><Relationship Id="rId26" Type="http://schemas.openxmlformats.org/officeDocument/2006/relationships/hyperlink" Target="https://drive.google.com/drive/folders/10VJRxsuM1h5BaieidbcmqT0hsPmrP9NP?usp=drive_link" TargetMode="External"/><Relationship Id="rId25" Type="http://schemas.openxmlformats.org/officeDocument/2006/relationships/hyperlink" Target="https://drive.google.com/open?id=12n9NnxBNW-mWVQBYAqIwSB0_ZYGiRmDG&amp;usp=drive_copy" TargetMode="External"/><Relationship Id="rId28" Type="http://schemas.openxmlformats.org/officeDocument/2006/relationships/hyperlink" Target="https://drive.google.com/drive/folders/10VJRxsuM1h5BaieidbcmqT0hsPmrP9NP?usp=drive_link" TargetMode="External"/><Relationship Id="rId27" Type="http://schemas.openxmlformats.org/officeDocument/2006/relationships/hyperlink" Target="https://drive.google.com/open?id=1QV3kQeaeKktrFBddV9GKy9WD6-8uxB1S&amp;usp=drive_copy" TargetMode="External"/><Relationship Id="rId29" Type="http://schemas.openxmlformats.org/officeDocument/2006/relationships/hyperlink" Target="https://drive.google.com/open?id=1gjxViYu-XCwg9SLacp4mDX1GIWHO4-sK&amp;usp=drive_copy" TargetMode="External"/><Relationship Id="rId51" Type="http://schemas.openxmlformats.org/officeDocument/2006/relationships/hyperlink" Target="https://drive.google.com/open?id=1FjlDeQ5Ha-_P0LLRYWecFPoMj9_dUTZ1&amp;usp=drive_copy" TargetMode="External"/><Relationship Id="rId50" Type="http://schemas.openxmlformats.org/officeDocument/2006/relationships/hyperlink" Target="https://drive.google.com/open?id=1EVsA14-ymw5H5SEPpQ-Ec-s2J0Hbcxml&amp;usp=drive_copy" TargetMode="External"/><Relationship Id="rId53" Type="http://schemas.openxmlformats.org/officeDocument/2006/relationships/hyperlink" Target="https://drive.google.com/open?id=12n9NnxBNW-mWVQBYAqIwSB0_ZYGiRmDG&amp;usp=drive_copy" TargetMode="External"/><Relationship Id="rId52" Type="http://schemas.openxmlformats.org/officeDocument/2006/relationships/hyperlink" Target="https://drive.google.com/open?id=1FjlDeQ5Ha-_P0LLRYWecFPoMj9_dUTZ1&amp;usp=drive_copy" TargetMode="External"/><Relationship Id="rId11" Type="http://schemas.openxmlformats.org/officeDocument/2006/relationships/hyperlink" Target="https://drive.google.com/drive/folders/1zVe9t-s1zzEA4IWrqU99D8ngLHc5RXMI?usp=drive_link" TargetMode="External"/><Relationship Id="rId55" Type="http://schemas.openxmlformats.org/officeDocument/2006/relationships/hyperlink" Target="https://drive.google.com/open?id=1QV3kQeaeKktrFBddV9GKy9WD6-8uxB1S&amp;usp=drive_copy" TargetMode="External"/><Relationship Id="rId10" Type="http://schemas.openxmlformats.org/officeDocument/2006/relationships/hyperlink" Target="https://drive.google.com/drive/folders/1Hz1p-M5x8lNJ6S2f6l3cj8hFm8BQUQtf?usp=drive_link" TargetMode="External"/><Relationship Id="rId54" Type="http://schemas.openxmlformats.org/officeDocument/2006/relationships/hyperlink" Target="https://drive.google.com/open?id=12n9NnxBNW-mWVQBYAqIwSB0_ZYGiRmDG&amp;usp=drive_copy" TargetMode="External"/><Relationship Id="rId13" Type="http://schemas.openxmlformats.org/officeDocument/2006/relationships/hyperlink" Target="https://drive.google.com/drive/folders/1zVe9t-s1zzEA4IWrqU99D8ngLHc5RXMI?usp=drive_link" TargetMode="External"/><Relationship Id="rId57" Type="http://schemas.openxmlformats.org/officeDocument/2006/relationships/hyperlink" Target="https://drive.google.com/open?id=1gjxViYu-XCwg9SLacp4mDX1GIWHO4-sK&amp;usp=drive_copy" TargetMode="External"/><Relationship Id="rId12" Type="http://schemas.openxmlformats.org/officeDocument/2006/relationships/hyperlink" Target="https://drive.google.com/drive/folders/1DHyPflhOp-ZhFIryhQ_js9_T8u4gBpZP?usp=drive_link" TargetMode="External"/><Relationship Id="rId56" Type="http://schemas.openxmlformats.org/officeDocument/2006/relationships/hyperlink" Target="https://drive.google.com/open?id=1QV3kQeaeKktrFBddV9GKy9WD6-8uxB1S&amp;usp=drive_copy" TargetMode="External"/><Relationship Id="rId15" Type="http://schemas.openxmlformats.org/officeDocument/2006/relationships/hyperlink" Target="https://drive.google.com/open?id=1pGwg3-dOOxoPYISWm66N0YNds7iDmqun&amp;usp=drive_copy" TargetMode="External"/><Relationship Id="rId59" Type="http://schemas.openxmlformats.org/officeDocument/2006/relationships/hyperlink" Target="https://drive.google.com/drive/folders/1khFICOp46Tn1VxNITHAe6NqHMVxQP6Tz?usp=drive_link" TargetMode="External"/><Relationship Id="rId14" Type="http://schemas.openxmlformats.org/officeDocument/2006/relationships/hyperlink" Target="https://drive.google.com/open?id=1eOytpkS3vwA-GpRqI0vn5_Ay83m-VcbI&amp;usp=drive_copy" TargetMode="External"/><Relationship Id="rId58" Type="http://schemas.openxmlformats.org/officeDocument/2006/relationships/hyperlink" Target="https://drive.google.com/open?id=1gjxViYu-XCwg9SLacp4mDX1GIWHO4-sK&amp;usp=drive_copy" TargetMode="External"/><Relationship Id="rId17" Type="http://schemas.openxmlformats.org/officeDocument/2006/relationships/hyperlink" Target="https://drive.google.com/open?id=1iesPtkAzNZL2x72AOZ9ZnvIeeUFEMM27&amp;usp=drive_copy" TargetMode="External"/><Relationship Id="rId16" Type="http://schemas.openxmlformats.org/officeDocument/2006/relationships/hyperlink" Target="https://drive.google.com/open?id=1rmtnTBxlN4nGC7srgJcqIg2hR7pewEyO&amp;usp=drive_copy" TargetMode="External"/><Relationship Id="rId19" Type="http://schemas.openxmlformats.org/officeDocument/2006/relationships/hyperlink" Target="https://drive.google.com/open?id=1Zr5CRkKEuDsAuPAz4Wb2D9WWW1-QCAHX&amp;usp=drive_copy" TargetMode="External"/><Relationship Id="rId18" Type="http://schemas.openxmlformats.org/officeDocument/2006/relationships/hyperlink" Target="https://drive.google.com/open?id=1GlsmoXF9Wfk8jNhF5v0xR0QZtwyEcuVx&amp;usp=drive_copy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Ve9t-s1zzEA4IWrqU99D8ngLHc5RXMI?usp=drive_link" TargetMode="External"/><Relationship Id="rId3" Type="http://schemas.openxmlformats.org/officeDocument/2006/relationships/hyperlink" Target="https://drive.google.com/open?id=1Zr5CRkKEuDsAuPAz4Wb2D9WWW1-QCAHX&amp;usp=drive_copy" TargetMode="External"/><Relationship Id="rId4" Type="http://schemas.openxmlformats.org/officeDocument/2006/relationships/hyperlink" Target="https://drive.google.com/drive/folders/10VJRxsuM1h5BaieidbcmqT0hsPmrP9NP?usp=drive_link" TargetMode="External"/><Relationship Id="rId9" Type="http://schemas.openxmlformats.org/officeDocument/2006/relationships/hyperlink" Target="https://drive.google.com/open?id=1iesPtkAzNZL2x72AOZ9ZnvIeeUFEMM27&amp;usp=drive_copy" TargetMode="External"/><Relationship Id="rId5" Type="http://schemas.openxmlformats.org/officeDocument/2006/relationships/hyperlink" Target="https://drive.google.com/drive/folders/1DHyPflhOp-ZhFIryhQ_js9_T8u4gBpZP?usp=drive_link" TargetMode="External"/><Relationship Id="rId6" Type="http://schemas.openxmlformats.org/officeDocument/2006/relationships/hyperlink" Target="https://drive.google.com/open?id=1eOytpkS3vwA-GpRqI0vn5_Ay83m-VcbI&amp;usp=drive_copy" TargetMode="External"/><Relationship Id="rId7" Type="http://schemas.openxmlformats.org/officeDocument/2006/relationships/hyperlink" Target="https://drive.google.com/open?id=1pGwg3-dOOxoPYISWm66N0YNds7iDmqun&amp;usp=drive_copy" TargetMode="External"/><Relationship Id="rId8" Type="http://schemas.openxmlformats.org/officeDocument/2006/relationships/hyperlink" Target="https://drive.google.com/open?id=1rmtnTBxlN4nGC7srgJcqIg2hR7pewEyO&amp;usp=drive_copy" TargetMode="External"/><Relationship Id="rId20" Type="http://schemas.openxmlformats.org/officeDocument/2006/relationships/hyperlink" Target="https://drive.google.com/drive/folders/1YWIJEAsctC1a_I_fvRMQsNA2CJjC1BDM?usp=drive_link" TargetMode="External"/><Relationship Id="rId21" Type="http://schemas.openxmlformats.org/officeDocument/2006/relationships/drawing" Target="../drawings/drawing7.xml"/><Relationship Id="rId11" Type="http://schemas.openxmlformats.org/officeDocument/2006/relationships/hyperlink" Target="https://drive.google.com/drive/folders/1PJRM9Xi8zgROj0tuXxrE8e6CuT33deIt?usp=drive_link" TargetMode="External"/><Relationship Id="rId10" Type="http://schemas.openxmlformats.org/officeDocument/2006/relationships/hyperlink" Target="https://drive.google.com/open?id=1GlsmoXF9Wfk8jNhF5v0xR0QZtwyEcuVx&amp;usp=drive_copy" TargetMode="External"/><Relationship Id="rId13" Type="http://schemas.openxmlformats.org/officeDocument/2006/relationships/hyperlink" Target="https://drive.google.com/open?id=1EVsA14-ymw5H5SEPpQ-Ec-s2J0Hbcxml&amp;usp=drive_copy" TargetMode="External"/><Relationship Id="rId12" Type="http://schemas.openxmlformats.org/officeDocument/2006/relationships/hyperlink" Target="https://drive.google.com/open?id=1nwG_8Vh0lFHKQe5GTHWyJuVhm50KfMTR&amp;usp=drive_copy" TargetMode="External"/><Relationship Id="rId15" Type="http://schemas.openxmlformats.org/officeDocument/2006/relationships/hyperlink" Target="https://drive.google.com/open?id=12n9NnxBNW-mWVQBYAqIwSB0_ZYGiRmDG&amp;usp=drive_copy" TargetMode="External"/><Relationship Id="rId14" Type="http://schemas.openxmlformats.org/officeDocument/2006/relationships/hyperlink" Target="https://drive.google.com/open?id=1FjlDeQ5Ha-_P0LLRYWecFPoMj9_dUTZ1&amp;usp=drive_copy" TargetMode="External"/><Relationship Id="rId17" Type="http://schemas.openxmlformats.org/officeDocument/2006/relationships/hyperlink" Target="https://drive.google.com/open?id=1gjxViYu-XCwg9SLacp4mDX1GIWHO4-sK&amp;usp=drive_copy" TargetMode="External"/><Relationship Id="rId16" Type="http://schemas.openxmlformats.org/officeDocument/2006/relationships/hyperlink" Target="https://drive.google.com/open?id=1QV3kQeaeKktrFBddV9GKy9WD6-8uxB1S&amp;usp=drive_copy" TargetMode="External"/><Relationship Id="rId19" Type="http://schemas.openxmlformats.org/officeDocument/2006/relationships/hyperlink" Target="https://drive.google.com/open?id=1tMLhJQDLPaA4YNwUY7c5dL1Irfp5PygE&amp;usp=drive_copy" TargetMode="External"/><Relationship Id="rId18" Type="http://schemas.openxmlformats.org/officeDocument/2006/relationships/hyperlink" Target="https://drive.google.com/drive/folders/1khFICOp46Tn1VxNITHAe6NqHMVxQP6Tz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d5Jk_b-L3dYKl_krq-Mf5HWxEM0YLdD?usp=drive_link" TargetMode="External"/><Relationship Id="rId2" Type="http://schemas.openxmlformats.org/officeDocument/2006/relationships/hyperlink" Target="https://drive.google.com/drive/folders/1zVe9t-s1zzEA4IWrqU99D8ngLHc5RXMI?usp=drive_link" TargetMode="External"/><Relationship Id="rId3" Type="http://schemas.openxmlformats.org/officeDocument/2006/relationships/hyperlink" Target="https://drive.google.com/open?id=1Zr5CRkKEuDsAuPAz4Wb2D9WWW1-QCAHX&amp;usp=drive_copy" TargetMode="External"/><Relationship Id="rId4" Type="http://schemas.openxmlformats.org/officeDocument/2006/relationships/hyperlink" Target="https://drive.google.com/drive/folders/10VJRxsuM1h5BaieidbcmqT0hsPmrP9NP?usp=drive_link" TargetMode="External"/><Relationship Id="rId9" Type="http://schemas.openxmlformats.org/officeDocument/2006/relationships/hyperlink" Target="https://drive.google.com/open?id=1iesPtkAzNZL2x72AOZ9ZnvIeeUFEMM27&amp;usp=drive_copy" TargetMode="External"/><Relationship Id="rId5" Type="http://schemas.openxmlformats.org/officeDocument/2006/relationships/hyperlink" Target="https://drive.google.com/drive/folders/1DHyPflhOp-ZhFIryhQ_js9_T8u4gBpZP?usp=drive_link" TargetMode="External"/><Relationship Id="rId6" Type="http://schemas.openxmlformats.org/officeDocument/2006/relationships/hyperlink" Target="https://drive.google.com/open?id=1eOytpkS3vwA-GpRqI0vn5_Ay83m-VcbI&amp;usp=drive_copy" TargetMode="External"/><Relationship Id="rId7" Type="http://schemas.openxmlformats.org/officeDocument/2006/relationships/hyperlink" Target="https://drive.google.com/open?id=1pGwg3-dOOxoPYISWm66N0YNds7iDmqun&amp;usp=drive_copy" TargetMode="External"/><Relationship Id="rId8" Type="http://schemas.openxmlformats.org/officeDocument/2006/relationships/hyperlink" Target="https://drive.google.com/open?id=1rmtnTBxlN4nGC7srgJcqIg2hR7pewEyO&amp;usp=drive_copy" TargetMode="External"/><Relationship Id="rId20" Type="http://schemas.openxmlformats.org/officeDocument/2006/relationships/hyperlink" Target="https://drive.google.com/drive/folders/1YWIJEAsctC1a_I_fvRMQsNA2CJjC1BDM?usp=drive_link" TargetMode="External"/><Relationship Id="rId21" Type="http://schemas.openxmlformats.org/officeDocument/2006/relationships/drawing" Target="../drawings/drawing8.xml"/><Relationship Id="rId11" Type="http://schemas.openxmlformats.org/officeDocument/2006/relationships/hyperlink" Target="https://drive.google.com/drive/folders/1PJRM9Xi8zgROj0tuXxrE8e6CuT33deIt?usp=drive_link" TargetMode="External"/><Relationship Id="rId10" Type="http://schemas.openxmlformats.org/officeDocument/2006/relationships/hyperlink" Target="https://drive.google.com/open?id=1GlsmoXF9Wfk8jNhF5v0xR0QZtwyEcuVx&amp;usp=drive_copy" TargetMode="External"/><Relationship Id="rId13" Type="http://schemas.openxmlformats.org/officeDocument/2006/relationships/hyperlink" Target="https://drive.google.com/open?id=1EVsA14-ymw5H5SEPpQ-Ec-s2J0Hbcxml&amp;usp=drive_copy" TargetMode="External"/><Relationship Id="rId12" Type="http://schemas.openxmlformats.org/officeDocument/2006/relationships/hyperlink" Target="https://drive.google.com/open?id=1nwG_8Vh0lFHKQe5GTHWyJuVhm50KfMTR&amp;usp=drive_copy" TargetMode="External"/><Relationship Id="rId15" Type="http://schemas.openxmlformats.org/officeDocument/2006/relationships/hyperlink" Target="https://drive.google.com/open?id=12n9NnxBNW-mWVQBYAqIwSB0_ZYGiRmDG&amp;usp=drive_copy" TargetMode="External"/><Relationship Id="rId14" Type="http://schemas.openxmlformats.org/officeDocument/2006/relationships/hyperlink" Target="https://drive.google.com/open?id=1FjlDeQ5Ha-_P0LLRYWecFPoMj9_dUTZ1&amp;usp=drive_copy" TargetMode="External"/><Relationship Id="rId17" Type="http://schemas.openxmlformats.org/officeDocument/2006/relationships/hyperlink" Target="https://drive.google.com/open?id=1gjxViYu-XCwg9SLacp4mDX1GIWHO4-sK&amp;usp=drive_copy" TargetMode="External"/><Relationship Id="rId16" Type="http://schemas.openxmlformats.org/officeDocument/2006/relationships/hyperlink" Target="https://drive.google.com/open?id=1QV3kQeaeKktrFBddV9GKy9WD6-8uxB1S&amp;usp=drive_copy" TargetMode="External"/><Relationship Id="rId19" Type="http://schemas.openxmlformats.org/officeDocument/2006/relationships/hyperlink" Target="https://drive.google.com/open?id=1tMLhJQDLPaA4YNwUY7c5dL1Irfp5PygE&amp;usp=drive_copy" TargetMode="External"/><Relationship Id="rId18" Type="http://schemas.openxmlformats.org/officeDocument/2006/relationships/hyperlink" Target="https://drive.google.com/drive/folders/1khFICOp46Tn1VxNITHAe6NqHMVxQP6Tz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8.57"/>
    <col customWidth="1" min="2" max="2" width="24.14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6" t="s">
        <v>7</v>
      </c>
    </row>
    <row r="5">
      <c r="A5" s="3" t="s">
        <v>8</v>
      </c>
      <c r="B5" s="6" t="s">
        <v>9</v>
      </c>
    </row>
    <row r="6">
      <c r="A6" s="3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6" t="s">
        <v>15</v>
      </c>
    </row>
    <row r="9">
      <c r="A9" s="3" t="s">
        <v>16</v>
      </c>
      <c r="B9" s="6" t="s">
        <v>17</v>
      </c>
    </row>
    <row r="10">
      <c r="A10" s="3" t="s">
        <v>18</v>
      </c>
      <c r="B10" s="6" t="s">
        <v>19</v>
      </c>
    </row>
    <row r="11">
      <c r="A11" s="3" t="s">
        <v>20</v>
      </c>
      <c r="B11" s="5" t="s">
        <v>21</v>
      </c>
    </row>
    <row r="12">
      <c r="A12" s="3" t="s">
        <v>22</v>
      </c>
      <c r="B12" s="6" t="s">
        <v>23</v>
      </c>
    </row>
    <row r="13">
      <c r="A13" s="3" t="s">
        <v>24</v>
      </c>
      <c r="B13" s="6" t="s">
        <v>25</v>
      </c>
    </row>
    <row r="14">
      <c r="A14" s="3" t="s">
        <v>26</v>
      </c>
      <c r="B14" s="6" t="s">
        <v>27</v>
      </c>
    </row>
    <row r="15">
      <c r="A15" s="3" t="s">
        <v>28</v>
      </c>
      <c r="B15" s="6" t="s">
        <v>29</v>
      </c>
    </row>
    <row r="16">
      <c r="A16" s="3" t="s">
        <v>30</v>
      </c>
      <c r="B16" s="6" t="s">
        <v>31</v>
      </c>
    </row>
    <row r="17">
      <c r="A17" s="3" t="s">
        <v>32</v>
      </c>
      <c r="B17" s="6" t="s">
        <v>33</v>
      </c>
    </row>
    <row r="18">
      <c r="A18" s="3" t="s">
        <v>34</v>
      </c>
      <c r="B18" s="5" t="s">
        <v>35</v>
      </c>
    </row>
    <row r="19">
      <c r="A19" s="3" t="s">
        <v>36</v>
      </c>
      <c r="B19" s="6" t="s">
        <v>37</v>
      </c>
    </row>
    <row r="20">
      <c r="A20" s="3" t="s">
        <v>38</v>
      </c>
      <c r="B20" s="5" t="s">
        <v>39</v>
      </c>
    </row>
    <row r="21">
      <c r="A21" s="3" t="s">
        <v>40</v>
      </c>
      <c r="B21" s="6" t="s">
        <v>41</v>
      </c>
    </row>
    <row r="22">
      <c r="A22" s="3" t="s">
        <v>42</v>
      </c>
      <c r="B22" s="6" t="s">
        <v>43</v>
      </c>
    </row>
    <row r="23">
      <c r="A23" s="3" t="s">
        <v>44</v>
      </c>
      <c r="B23" s="6" t="s">
        <v>45</v>
      </c>
    </row>
    <row r="25">
      <c r="A25" s="3" t="s">
        <v>46</v>
      </c>
      <c r="B25" s="5" t="s">
        <v>47</v>
      </c>
    </row>
    <row r="26">
      <c r="A26" s="3" t="s">
        <v>48</v>
      </c>
      <c r="B26" s="6" t="s">
        <v>49</v>
      </c>
    </row>
    <row r="27">
      <c r="A27" s="7" t="s">
        <v>50</v>
      </c>
      <c r="B27" s="8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5"/>
    <hyperlink r:id="rId24" ref="B26"/>
    <hyperlink r:id="rId25" ref="B27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min="2" max="2" width="31.14"/>
    <col customWidth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hidden="1" min="9" max="9" width="27.57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0" t="s">
        <v>53</v>
      </c>
      <c r="C1" s="11" t="s">
        <v>54</v>
      </c>
      <c r="D1" s="12" t="s">
        <v>55</v>
      </c>
      <c r="E1" s="13" t="s">
        <v>56</v>
      </c>
      <c r="F1" s="12" t="s">
        <v>57</v>
      </c>
      <c r="G1" s="14" t="s">
        <v>58</v>
      </c>
      <c r="H1" s="15" t="s">
        <v>59</v>
      </c>
      <c r="I1" s="16" t="s">
        <v>60</v>
      </c>
      <c r="J1" s="17" t="s">
        <v>61</v>
      </c>
      <c r="K1" s="18"/>
      <c r="L1" s="19" t="s">
        <v>62</v>
      </c>
      <c r="M1" s="19" t="s">
        <v>52</v>
      </c>
      <c r="N1" s="19" t="s">
        <v>63</v>
      </c>
      <c r="O1" s="20" t="s">
        <v>59</v>
      </c>
      <c r="P1" s="21"/>
      <c r="Q1" s="22" t="s">
        <v>64</v>
      </c>
      <c r="R1" s="23">
        <v>46029.0</v>
      </c>
      <c r="S1" s="22" t="s">
        <v>65</v>
      </c>
      <c r="T1" s="24" t="s">
        <v>66</v>
      </c>
      <c r="U1" s="25" t="s">
        <v>67</v>
      </c>
      <c r="V1" s="24">
        <v>287.0</v>
      </c>
      <c r="W1" s="21"/>
      <c r="X1" s="21"/>
      <c r="Y1" s="21"/>
      <c r="Z1" s="21"/>
    </row>
    <row r="2">
      <c r="A2" s="26" t="s">
        <v>2</v>
      </c>
      <c r="B2" s="27" t="s">
        <v>68</v>
      </c>
      <c r="C2" s="28" t="s">
        <v>58</v>
      </c>
      <c r="D2" s="29" t="s">
        <v>69</v>
      </c>
      <c r="E2" s="30" t="s">
        <v>70</v>
      </c>
      <c r="F2" s="28" t="s">
        <v>71</v>
      </c>
      <c r="G2" s="31">
        <f>SUMIFS('Diciembre Data'!C:C,'Diciembre Data'!A:A,B2,'Diciembre Data'!B:B,F2)</f>
        <v>3807241.49</v>
      </c>
      <c r="H2" s="32" t="str">
        <f>VLOOKUP(B2,'Diciembre Data'!A:D,4,FALSE)</f>
        <v>UESP1325</v>
      </c>
      <c r="I2" s="33" t="s">
        <v>3</v>
      </c>
      <c r="J2" s="34">
        <f>V1</f>
        <v>287</v>
      </c>
      <c r="K2" s="35"/>
      <c r="L2" s="36" t="b">
        <v>0</v>
      </c>
      <c r="M2" s="37" t="s">
        <v>2</v>
      </c>
      <c r="N2" s="38" t="s">
        <v>3</v>
      </c>
      <c r="O2" s="37"/>
    </row>
    <row r="3">
      <c r="A3" s="39" t="s">
        <v>2</v>
      </c>
      <c r="B3" s="40" t="s">
        <v>68</v>
      </c>
      <c r="C3" s="41" t="s">
        <v>72</v>
      </c>
      <c r="D3" s="42" t="s">
        <v>69</v>
      </c>
      <c r="E3" s="43" t="s">
        <v>70</v>
      </c>
      <c r="F3" s="41" t="s">
        <v>73</v>
      </c>
      <c r="G3" s="44">
        <f>SUMIFS('Diciembre Data'!C:C,'Diciembre Data'!A:A,B3,'Diciembre Data'!B:B,F3)</f>
        <v>108024.99</v>
      </c>
      <c r="H3" s="45" t="str">
        <f>VLOOKUP(B3,'Diciembre Data'!A:D,4,FALSE)</f>
        <v>UESP1325</v>
      </c>
      <c r="I3" s="46" t="s">
        <v>3</v>
      </c>
      <c r="J3" s="47"/>
      <c r="K3" s="35"/>
      <c r="L3" s="36" t="b">
        <v>0</v>
      </c>
      <c r="M3" s="37" t="s">
        <v>38</v>
      </c>
      <c r="N3" s="38" t="s">
        <v>39</v>
      </c>
      <c r="O3" s="37"/>
    </row>
    <row r="4">
      <c r="A4" s="48" t="s">
        <v>2</v>
      </c>
      <c r="B4" s="49" t="s">
        <v>68</v>
      </c>
      <c r="C4" s="50" t="s">
        <v>72</v>
      </c>
      <c r="D4" s="50" t="s">
        <v>69</v>
      </c>
      <c r="E4" s="51" t="s">
        <v>70</v>
      </c>
      <c r="F4" s="50" t="s">
        <v>74</v>
      </c>
      <c r="G4" s="52">
        <f>G2+G3</f>
        <v>3915266.48</v>
      </c>
      <c r="H4" s="53" t="str">
        <f>VLOOKUP(B4,'Diciembre Data'!A:D,4,FALSE)</f>
        <v>UESP1325</v>
      </c>
      <c r="I4" s="54"/>
      <c r="J4" s="55"/>
      <c r="K4" s="35"/>
      <c r="L4" s="36" t="b">
        <v>0</v>
      </c>
      <c r="M4" s="37" t="s">
        <v>4</v>
      </c>
      <c r="N4" s="38" t="s">
        <v>5</v>
      </c>
      <c r="O4" s="37"/>
    </row>
    <row r="5">
      <c r="A5" s="39" t="s">
        <v>2</v>
      </c>
      <c r="B5" s="40" t="s">
        <v>68</v>
      </c>
      <c r="C5" s="41" t="s">
        <v>59</v>
      </c>
      <c r="D5" s="56" t="s">
        <v>59</v>
      </c>
      <c r="E5" s="43" t="s">
        <v>70</v>
      </c>
      <c r="F5" s="41" t="s">
        <v>75</v>
      </c>
      <c r="G5" s="44">
        <f>G4*5%</f>
        <v>195763.324</v>
      </c>
      <c r="H5" s="45" t="str">
        <f>VLOOKUP(B5,'Diciembre Data'!A:D,4,FALSE)</f>
        <v>UESP1325</v>
      </c>
      <c r="I5" s="33" t="s">
        <v>3</v>
      </c>
      <c r="J5" s="47"/>
      <c r="K5" s="35"/>
      <c r="L5" s="36" t="b">
        <v>0</v>
      </c>
      <c r="M5" s="37" t="s">
        <v>6</v>
      </c>
      <c r="N5" s="38" t="s">
        <v>7</v>
      </c>
      <c r="O5" s="37"/>
    </row>
    <row r="6">
      <c r="A6" s="39" t="s">
        <v>2</v>
      </c>
      <c r="B6" s="40" t="s">
        <v>68</v>
      </c>
      <c r="C6" s="41" t="s">
        <v>59</v>
      </c>
      <c r="D6" s="56" t="s">
        <v>59</v>
      </c>
      <c r="E6" s="43" t="s">
        <v>70</v>
      </c>
      <c r="F6" s="41" t="s">
        <v>58</v>
      </c>
      <c r="G6" s="44">
        <f>G5</f>
        <v>195763.324</v>
      </c>
      <c r="H6" s="45" t="str">
        <f>VLOOKUP(B6,'Diciembre Data'!A:D,4,FALSE)</f>
        <v>UESP1325</v>
      </c>
      <c r="I6" s="57" t="s">
        <v>3</v>
      </c>
      <c r="J6" s="47"/>
      <c r="K6" s="35"/>
      <c r="L6" s="36"/>
      <c r="M6" s="37"/>
      <c r="N6" s="36"/>
      <c r="O6" s="37"/>
    </row>
    <row r="7">
      <c r="A7" s="58" t="s">
        <v>38</v>
      </c>
      <c r="B7" s="27" t="s">
        <v>76</v>
      </c>
      <c r="C7" s="28" t="s">
        <v>58</v>
      </c>
      <c r="D7" s="29" t="s">
        <v>69</v>
      </c>
      <c r="E7" s="30" t="s">
        <v>77</v>
      </c>
      <c r="F7" s="28" t="s">
        <v>71</v>
      </c>
      <c r="G7" s="31">
        <f>SUMIFS('Diciembre Data'!C:C,'Diciembre Data'!A:A,B7,'Diciembre Data'!B:B,F7)</f>
        <v>0</v>
      </c>
      <c r="H7" s="32" t="str">
        <f>VLOOKUP(B7,'Diciembre Data'!A:D,4,FALSE)</f>
        <v>#N/A</v>
      </c>
      <c r="I7" s="33" t="s">
        <v>39</v>
      </c>
      <c r="J7" s="59">
        <f>J2+1</f>
        <v>288</v>
      </c>
      <c r="K7" s="35"/>
      <c r="L7" s="36" t="b">
        <v>0</v>
      </c>
      <c r="M7" s="37" t="s">
        <v>10</v>
      </c>
      <c r="N7" s="38" t="s">
        <v>11</v>
      </c>
      <c r="O7" s="37"/>
    </row>
    <row r="8">
      <c r="A8" s="60" t="s">
        <v>38</v>
      </c>
      <c r="B8" s="40" t="s">
        <v>76</v>
      </c>
      <c r="C8" s="41" t="s">
        <v>72</v>
      </c>
      <c r="D8" s="42" t="s">
        <v>69</v>
      </c>
      <c r="E8" s="43" t="s">
        <v>77</v>
      </c>
      <c r="F8" s="41" t="s">
        <v>73</v>
      </c>
      <c r="G8" s="44">
        <f>SUMIFS('Diciembre Data'!C:C,'Diciembre Data'!A:A,B8,'Diciembre Data'!B:B,F8)</f>
        <v>0</v>
      </c>
      <c r="H8" s="45" t="str">
        <f>VLOOKUP(B8,'Diciembre Data'!A:D,4,FALSE)</f>
        <v>#N/A</v>
      </c>
      <c r="I8" s="46" t="s">
        <v>39</v>
      </c>
      <c r="J8" s="47"/>
      <c r="K8" s="35"/>
      <c r="L8" s="36" t="b">
        <v>0</v>
      </c>
      <c r="M8" s="37" t="s">
        <v>12</v>
      </c>
      <c r="N8" s="38" t="s">
        <v>13</v>
      </c>
      <c r="O8" s="37"/>
    </row>
    <row r="9">
      <c r="A9" s="61" t="s">
        <v>38</v>
      </c>
      <c r="B9" s="49" t="s">
        <v>76</v>
      </c>
      <c r="C9" s="50" t="s">
        <v>72</v>
      </c>
      <c r="D9" s="50" t="s">
        <v>69</v>
      </c>
      <c r="E9" s="51" t="s">
        <v>77</v>
      </c>
      <c r="F9" s="50" t="s">
        <v>74</v>
      </c>
      <c r="G9" s="52">
        <f>G8+G7</f>
        <v>0</v>
      </c>
      <c r="H9" s="53" t="str">
        <f>VLOOKUP(B9,'Diciembre Data'!A:D,4,FALSE)</f>
        <v>#N/A</v>
      </c>
      <c r="I9" s="54"/>
      <c r="J9" s="55"/>
      <c r="K9" s="35"/>
      <c r="L9" s="36" t="b">
        <v>0</v>
      </c>
      <c r="M9" s="37" t="s">
        <v>40</v>
      </c>
      <c r="N9" s="38" t="s">
        <v>41</v>
      </c>
      <c r="O9" s="37"/>
    </row>
    <row r="10">
      <c r="A10" s="60" t="s">
        <v>38</v>
      </c>
      <c r="B10" s="40" t="s">
        <v>76</v>
      </c>
      <c r="C10" s="41" t="s">
        <v>59</v>
      </c>
      <c r="D10" s="56" t="s">
        <v>59</v>
      </c>
      <c r="E10" s="43" t="s">
        <v>77</v>
      </c>
      <c r="F10" s="41" t="s">
        <v>75</v>
      </c>
      <c r="G10" s="44">
        <f>G9*5%</f>
        <v>0</v>
      </c>
      <c r="H10" s="45" t="str">
        <f>VLOOKUP(B10,'Diciembre Data'!A:D,4,FALSE)</f>
        <v>#N/A</v>
      </c>
      <c r="I10" s="54"/>
      <c r="J10" s="47"/>
      <c r="K10" s="35"/>
      <c r="L10" s="36" t="b">
        <v>0</v>
      </c>
      <c r="M10" s="37" t="s">
        <v>14</v>
      </c>
      <c r="N10" s="38" t="s">
        <v>15</v>
      </c>
      <c r="O10" s="37"/>
    </row>
    <row r="11">
      <c r="A11" s="60" t="s">
        <v>38</v>
      </c>
      <c r="B11" s="40" t="s">
        <v>76</v>
      </c>
      <c r="C11" s="41" t="s">
        <v>59</v>
      </c>
      <c r="D11" s="56" t="s">
        <v>59</v>
      </c>
      <c r="E11" s="43" t="s">
        <v>77</v>
      </c>
      <c r="F11" s="41" t="s">
        <v>58</v>
      </c>
      <c r="G11" s="62">
        <f>G10</f>
        <v>0</v>
      </c>
      <c r="H11" s="45" t="str">
        <f>VLOOKUP(B11,'Diciembre Data'!A:D,4,FALSE)</f>
        <v>#N/A</v>
      </c>
      <c r="I11" s="54"/>
      <c r="J11" s="47"/>
      <c r="K11" s="35"/>
      <c r="L11" s="36" t="b">
        <v>0</v>
      </c>
      <c r="M11" s="37" t="s">
        <v>16</v>
      </c>
      <c r="N11" s="38" t="s">
        <v>17</v>
      </c>
      <c r="O11" s="37"/>
    </row>
    <row r="12">
      <c r="A12" s="26" t="s">
        <v>4</v>
      </c>
      <c r="B12" s="27" t="s">
        <v>78</v>
      </c>
      <c r="C12" s="28" t="s">
        <v>58</v>
      </c>
      <c r="D12" s="29" t="s">
        <v>69</v>
      </c>
      <c r="E12" s="30" t="s">
        <v>79</v>
      </c>
      <c r="F12" s="28" t="s">
        <v>71</v>
      </c>
      <c r="G12" s="31">
        <f>SUMIFS('Diciembre Data'!C:C,'Diciembre Data'!A:A,B12,'Diciembre Data'!B:B,F12)</f>
        <v>3356632.67</v>
      </c>
      <c r="H12" s="63" t="str">
        <f>VLOOKUP(B12,'Diciembre Data'!A:D,4,FALSE)</f>
        <v>UESP1334</v>
      </c>
      <c r="I12" s="64" t="s">
        <v>5</v>
      </c>
      <c r="J12" s="65">
        <f>J2+1</f>
        <v>288</v>
      </c>
      <c r="K12" s="35"/>
      <c r="L12" s="36" t="b">
        <v>0</v>
      </c>
      <c r="M12" s="37" t="s">
        <v>42</v>
      </c>
      <c r="N12" s="38" t="s">
        <v>43</v>
      </c>
      <c r="O12" s="37"/>
    </row>
    <row r="13">
      <c r="A13" s="39" t="s">
        <v>4</v>
      </c>
      <c r="B13" s="40" t="s">
        <v>78</v>
      </c>
      <c r="C13" s="41" t="s">
        <v>72</v>
      </c>
      <c r="D13" s="42" t="s">
        <v>69</v>
      </c>
      <c r="E13" s="43" t="s">
        <v>79</v>
      </c>
      <c r="F13" s="41" t="s">
        <v>73</v>
      </c>
      <c r="G13" s="44">
        <f>SUMIFS('Diciembre Data'!C:C,'Diciembre Data'!A:A,B13,'Diciembre Data'!B:B,F13)</f>
        <v>56978.08</v>
      </c>
      <c r="H13" s="66" t="str">
        <f>VLOOKUP(B13,'Diciembre Data'!A:D,4,FALSE)</f>
        <v>UESP1334</v>
      </c>
      <c r="I13" s="67" t="s">
        <v>5</v>
      </c>
      <c r="J13" s="68"/>
      <c r="K13" s="35"/>
      <c r="L13" s="36" t="b">
        <v>0</v>
      </c>
      <c r="M13" s="37" t="s">
        <v>18</v>
      </c>
      <c r="N13" s="38" t="s">
        <v>19</v>
      </c>
      <c r="O13" s="37"/>
    </row>
    <row r="14">
      <c r="A14" s="69" t="s">
        <v>4</v>
      </c>
      <c r="B14" s="70" t="s">
        <v>78</v>
      </c>
      <c r="C14" s="71" t="s">
        <v>72</v>
      </c>
      <c r="D14" s="72" t="s">
        <v>69</v>
      </c>
      <c r="E14" s="73"/>
      <c r="F14" s="74" t="s">
        <v>80</v>
      </c>
      <c r="G14" s="75">
        <f>(G12+G13)*4%</f>
        <v>136544.43</v>
      </c>
      <c r="H14" s="66" t="str">
        <f>VLOOKUP(B14,'Diciembre Data'!A:D,4,FALSE)</f>
        <v>UESP1334</v>
      </c>
      <c r="I14" s="71"/>
      <c r="J14" s="76"/>
      <c r="K14" s="35"/>
      <c r="L14" s="36" t="b">
        <v>0</v>
      </c>
      <c r="M14" s="37" t="s">
        <v>20</v>
      </c>
      <c r="N14" s="38" t="s">
        <v>21</v>
      </c>
      <c r="O14" s="37"/>
    </row>
    <row r="15">
      <c r="A15" s="77" t="s">
        <v>4</v>
      </c>
      <c r="B15" s="49" t="s">
        <v>78</v>
      </c>
      <c r="C15" s="50" t="s">
        <v>72</v>
      </c>
      <c r="D15" s="50" t="s">
        <v>69</v>
      </c>
      <c r="E15" s="51" t="s">
        <v>79</v>
      </c>
      <c r="F15" s="50" t="s">
        <v>74</v>
      </c>
      <c r="G15" s="52">
        <f>G12+G13-G14</f>
        <v>3277066.32</v>
      </c>
      <c r="H15" s="53" t="str">
        <f>VLOOKUP(B15,'Diciembre Data'!A:D,4,FALSE)</f>
        <v>UESP1334</v>
      </c>
      <c r="I15" s="54"/>
      <c r="J15" s="78"/>
      <c r="K15" s="35"/>
      <c r="L15" s="36" t="b">
        <v>0</v>
      </c>
      <c r="M15" s="37" t="s">
        <v>22</v>
      </c>
      <c r="N15" s="38" t="s">
        <v>23</v>
      </c>
      <c r="O15" s="37"/>
    </row>
    <row r="16">
      <c r="A16" s="37" t="s">
        <v>4</v>
      </c>
      <c r="B16" s="40" t="s">
        <v>78</v>
      </c>
      <c r="C16" s="41" t="s">
        <v>59</v>
      </c>
      <c r="D16" s="56" t="s">
        <v>59</v>
      </c>
      <c r="E16" s="43" t="s">
        <v>79</v>
      </c>
      <c r="F16" s="41" t="s">
        <v>75</v>
      </c>
      <c r="G16" s="44">
        <f>G15*5%</f>
        <v>163853.316</v>
      </c>
      <c r="H16" s="45" t="str">
        <f>VLOOKUP(B16,'Diciembre Data'!A:D,4,FALSE)</f>
        <v>UESP1334</v>
      </c>
      <c r="I16" s="54"/>
      <c r="J16" s="79"/>
      <c r="K16" s="35"/>
      <c r="L16" s="36" t="b">
        <v>0</v>
      </c>
      <c r="M16" s="37" t="s">
        <v>24</v>
      </c>
      <c r="N16" s="38" t="s">
        <v>25</v>
      </c>
      <c r="O16" s="37"/>
    </row>
    <row r="17">
      <c r="A17" s="80" t="s">
        <v>4</v>
      </c>
      <c r="B17" s="70" t="s">
        <v>78</v>
      </c>
      <c r="C17" s="71" t="s">
        <v>59</v>
      </c>
      <c r="D17" s="81" t="s">
        <v>59</v>
      </c>
      <c r="E17" s="73" t="s">
        <v>79</v>
      </c>
      <c r="F17" s="71" t="s">
        <v>58</v>
      </c>
      <c r="G17" s="62">
        <f>G16</f>
        <v>163853.316</v>
      </c>
      <c r="H17" s="82" t="str">
        <f>VLOOKUP(B17,'Diciembre Data'!A:D,4,FALSE)</f>
        <v>UESP1334</v>
      </c>
      <c r="I17" s="54"/>
      <c r="J17" s="83"/>
      <c r="K17" s="35"/>
      <c r="L17" s="36" t="b">
        <v>0</v>
      </c>
      <c r="M17" s="37" t="s">
        <v>26</v>
      </c>
      <c r="N17" s="38" t="s">
        <v>27</v>
      </c>
      <c r="O17" s="37"/>
    </row>
    <row r="18" ht="16.5" customHeight="1">
      <c r="A18" s="84" t="s">
        <v>6</v>
      </c>
      <c r="B18" s="27" t="s">
        <v>81</v>
      </c>
      <c r="C18" s="28" t="s">
        <v>58</v>
      </c>
      <c r="D18" s="29" t="s">
        <v>69</v>
      </c>
      <c r="E18" s="30" t="s">
        <v>82</v>
      </c>
      <c r="F18" s="28" t="s">
        <v>71</v>
      </c>
      <c r="G18" s="31">
        <f>SUMIFS('Diciembre Data'!C:C,'Diciembre Data'!A:A,B18,'Diciembre Data'!B:B,F18)</f>
        <v>5394120.75</v>
      </c>
      <c r="H18" s="32" t="str">
        <f>VLOOKUP(B18,'Diciembre Data'!A:D,4,FALSE)</f>
        <v>UESP1327</v>
      </c>
      <c r="I18" s="33" t="s">
        <v>7</v>
      </c>
      <c r="J18" s="85">
        <f>J12+1</f>
        <v>289</v>
      </c>
      <c r="K18" s="35"/>
      <c r="L18" s="36" t="b">
        <v>0</v>
      </c>
      <c r="M18" s="37" t="s">
        <v>28</v>
      </c>
      <c r="N18" s="38" t="s">
        <v>29</v>
      </c>
      <c r="O18" s="37"/>
    </row>
    <row r="19" ht="16.5" customHeight="1">
      <c r="A19" s="86" t="s">
        <v>6</v>
      </c>
      <c r="B19" s="70" t="s">
        <v>81</v>
      </c>
      <c r="C19" s="71" t="s">
        <v>72</v>
      </c>
      <c r="D19" s="72" t="s">
        <v>69</v>
      </c>
      <c r="E19" s="73" t="s">
        <v>82</v>
      </c>
      <c r="F19" s="71" t="s">
        <v>73</v>
      </c>
      <c r="G19" s="62">
        <f>SUMIFS('Diciembre Data'!C:C,'Diciembre Data'!A:A,B19,'Diciembre Data'!B:B,F19)</f>
        <v>0</v>
      </c>
      <c r="H19" s="82" t="str">
        <f>VLOOKUP(B19,'Diciembre Data'!A:D,4,FALSE)</f>
        <v>UESP1327</v>
      </c>
      <c r="I19" s="46" t="s">
        <v>7</v>
      </c>
      <c r="J19" s="87"/>
      <c r="K19" s="35"/>
      <c r="L19" s="36" t="b">
        <v>0</v>
      </c>
      <c r="M19" s="37" t="s">
        <v>30</v>
      </c>
      <c r="N19" s="38" t="s">
        <v>31</v>
      </c>
      <c r="O19" s="37"/>
    </row>
    <row r="20" ht="16.5" customHeight="1">
      <c r="A20" s="77" t="s">
        <v>6</v>
      </c>
      <c r="B20" s="49" t="s">
        <v>81</v>
      </c>
      <c r="C20" s="50" t="s">
        <v>72</v>
      </c>
      <c r="D20" s="50" t="s">
        <v>69</v>
      </c>
      <c r="E20" s="51" t="s">
        <v>82</v>
      </c>
      <c r="F20" s="50" t="s">
        <v>74</v>
      </c>
      <c r="G20" s="52">
        <f>G19+G18</f>
        <v>5394120.75</v>
      </c>
      <c r="H20" s="53" t="str">
        <f>VLOOKUP(B20,'Diciembre Data'!A:D,4,FALSE)</f>
        <v>UESP1327</v>
      </c>
      <c r="I20" s="54"/>
      <c r="J20" s="78"/>
      <c r="K20" s="35"/>
      <c r="L20" s="36" t="b">
        <v>0</v>
      </c>
      <c r="M20" s="37" t="s">
        <v>32</v>
      </c>
      <c r="N20" s="38" t="s">
        <v>33</v>
      </c>
      <c r="O20" s="37"/>
    </row>
    <row r="21" ht="16.5" customHeight="1">
      <c r="A21" s="84" t="s">
        <v>6</v>
      </c>
      <c r="B21" s="27" t="s">
        <v>81</v>
      </c>
      <c r="C21" s="28" t="s">
        <v>59</v>
      </c>
      <c r="D21" s="56" t="s">
        <v>59</v>
      </c>
      <c r="E21" s="88"/>
      <c r="F21" s="41" t="s">
        <v>75</v>
      </c>
      <c r="G21" s="44">
        <f>G20*5%</f>
        <v>269706.0375</v>
      </c>
      <c r="H21" s="45" t="str">
        <f>VLOOKUP(B21,'Diciembre Data'!A:D,4,FALSE)</f>
        <v>UESP1327</v>
      </c>
      <c r="I21" s="54"/>
      <c r="J21" s="85"/>
      <c r="K21" s="35"/>
      <c r="L21" s="36" t="b">
        <v>0</v>
      </c>
      <c r="M21" s="37" t="s">
        <v>34</v>
      </c>
      <c r="N21" s="38" t="s">
        <v>35</v>
      </c>
      <c r="O21" s="37"/>
    </row>
    <row r="22" ht="16.5" customHeight="1">
      <c r="A22" s="36" t="s">
        <v>6</v>
      </c>
      <c r="B22" s="40" t="s">
        <v>81</v>
      </c>
      <c r="C22" s="41" t="s">
        <v>59</v>
      </c>
      <c r="D22" s="56" t="s">
        <v>59</v>
      </c>
      <c r="E22" s="88"/>
      <c r="F22" s="41" t="s">
        <v>58</v>
      </c>
      <c r="G22" s="62">
        <f>G21</f>
        <v>269706.0375</v>
      </c>
      <c r="H22" s="45" t="str">
        <f>VLOOKUP(B22,'Diciembre Data'!A:D,4,FALSE)</f>
        <v>UESP1327</v>
      </c>
      <c r="I22" s="54"/>
      <c r="J22" s="89"/>
      <c r="K22" s="35"/>
      <c r="L22" s="36" t="b">
        <v>0</v>
      </c>
      <c r="M22" s="37" t="s">
        <v>44</v>
      </c>
      <c r="N22" s="38" t="s">
        <v>45</v>
      </c>
      <c r="O22" s="37"/>
    </row>
    <row r="23" ht="14.25" customHeight="1">
      <c r="A23" s="26"/>
      <c r="B23" s="27"/>
      <c r="C23" s="28"/>
      <c r="D23" s="29"/>
      <c r="E23" s="30"/>
      <c r="F23" s="28"/>
      <c r="G23" s="31"/>
      <c r="H23" s="63"/>
      <c r="I23" s="28"/>
      <c r="J23" s="65"/>
      <c r="K23" s="35"/>
      <c r="L23" s="36" t="b">
        <v>0</v>
      </c>
      <c r="M23" s="80" t="s">
        <v>36</v>
      </c>
      <c r="N23" s="90" t="s">
        <v>37</v>
      </c>
      <c r="O23" s="37"/>
    </row>
    <row r="24" ht="14.25" customHeight="1">
      <c r="A24" s="39"/>
      <c r="B24" s="40"/>
      <c r="D24" s="42"/>
      <c r="G24" s="44"/>
      <c r="H24" s="66"/>
      <c r="J24" s="68"/>
      <c r="K24" s="35"/>
      <c r="O24" s="37"/>
    </row>
    <row r="25" ht="14.25" customHeight="1">
      <c r="A25" s="69"/>
      <c r="B25" s="70"/>
      <c r="C25" s="71"/>
      <c r="D25" s="72"/>
      <c r="E25" s="73"/>
      <c r="F25" s="74"/>
      <c r="G25" s="75"/>
      <c r="H25" s="66"/>
      <c r="I25" s="71"/>
      <c r="J25" s="76"/>
      <c r="K25" s="35"/>
      <c r="N25" s="41"/>
      <c r="O25" s="37"/>
    </row>
    <row r="26" ht="13.5" customHeight="1">
      <c r="A26" s="77"/>
      <c r="B26" s="49"/>
      <c r="C26" s="50"/>
      <c r="D26" s="50"/>
      <c r="E26" s="51"/>
      <c r="F26" s="50"/>
      <c r="G26" s="52"/>
      <c r="H26" s="53"/>
      <c r="I26" s="54"/>
      <c r="J26" s="78"/>
      <c r="K26" s="35"/>
      <c r="O26" s="37"/>
    </row>
    <row r="27" ht="13.5" customHeight="1">
      <c r="A27" s="91"/>
      <c r="B27" s="27"/>
      <c r="C27" s="28"/>
      <c r="D27" s="56"/>
      <c r="E27" s="88"/>
      <c r="G27" s="44"/>
      <c r="H27" s="45"/>
      <c r="I27" s="54"/>
      <c r="J27" s="92"/>
      <c r="K27" s="35"/>
      <c r="O27" s="37"/>
    </row>
    <row r="28" ht="13.5" customHeight="1">
      <c r="A28" s="80"/>
      <c r="B28" s="70"/>
      <c r="C28" s="71"/>
      <c r="D28" s="81"/>
      <c r="E28" s="88"/>
      <c r="F28" s="71"/>
      <c r="G28" s="62"/>
      <c r="H28" s="82"/>
      <c r="I28" s="54"/>
      <c r="J28" s="83"/>
      <c r="K28" s="35"/>
      <c r="O28" s="37"/>
    </row>
    <row r="29">
      <c r="A29" s="91" t="s">
        <v>10</v>
      </c>
      <c r="B29" s="27" t="s">
        <v>83</v>
      </c>
      <c r="C29" s="28" t="s">
        <v>58</v>
      </c>
      <c r="D29" s="29" t="s">
        <v>69</v>
      </c>
      <c r="E29" s="30" t="s">
        <v>84</v>
      </c>
      <c r="F29" s="28" t="s">
        <v>71</v>
      </c>
      <c r="G29" s="31">
        <f>SUMIFS('Diciembre Data'!C:C,'Diciembre Data'!A:A,B29,'Diciembre Data'!B:B,F29)</f>
        <v>4790049.79</v>
      </c>
      <c r="H29" s="32" t="str">
        <f>VLOOKUP(B29,'Diciembre Data'!A:D,4,FALSE)</f>
        <v>UESP1323</v>
      </c>
      <c r="I29" s="33" t="s">
        <v>11</v>
      </c>
      <c r="J29" s="85">
        <f>J18+1</f>
        <v>290</v>
      </c>
      <c r="K29" s="35"/>
      <c r="O29" s="37"/>
    </row>
    <row r="30">
      <c r="A30" s="80" t="s">
        <v>10</v>
      </c>
      <c r="B30" s="70" t="s">
        <v>83</v>
      </c>
      <c r="C30" s="71" t="s">
        <v>72</v>
      </c>
      <c r="D30" s="72" t="s">
        <v>69</v>
      </c>
      <c r="E30" s="73" t="s">
        <v>84</v>
      </c>
      <c r="F30" s="71" t="s">
        <v>73</v>
      </c>
      <c r="G30" s="62">
        <f>SUMIFS('Diciembre Data'!C:C,'Diciembre Data'!A:A,B30,'Diciembre Data'!B:B,F30)</f>
        <v>0</v>
      </c>
      <c r="H30" s="82" t="str">
        <f>VLOOKUP(B30,'Diciembre Data'!A:D,4,FALSE)</f>
        <v>UESP1323</v>
      </c>
      <c r="I30" s="46" t="s">
        <v>11</v>
      </c>
      <c r="J30" s="83"/>
      <c r="K30" s="35"/>
      <c r="O30" s="37"/>
    </row>
    <row r="31">
      <c r="A31" s="77" t="s">
        <v>10</v>
      </c>
      <c r="B31" s="49" t="s">
        <v>83</v>
      </c>
      <c r="C31" s="50" t="s">
        <v>72</v>
      </c>
      <c r="D31" s="50" t="s">
        <v>69</v>
      </c>
      <c r="E31" s="51" t="s">
        <v>84</v>
      </c>
      <c r="F31" s="50" t="s">
        <v>74</v>
      </c>
      <c r="G31" s="52">
        <f>G30+G29</f>
        <v>4790049.79</v>
      </c>
      <c r="H31" s="53" t="str">
        <f>VLOOKUP(B31,'Diciembre Data'!A:D,4,FALSE)</f>
        <v>UESP1323</v>
      </c>
      <c r="I31" s="54"/>
      <c r="J31" s="78"/>
      <c r="K31" s="35"/>
      <c r="O31" s="37"/>
    </row>
    <row r="32">
      <c r="A32" s="91" t="s">
        <v>10</v>
      </c>
      <c r="B32" s="27" t="s">
        <v>83</v>
      </c>
      <c r="C32" s="28" t="s">
        <v>59</v>
      </c>
      <c r="D32" s="56" t="s">
        <v>59</v>
      </c>
      <c r="E32" s="88"/>
      <c r="F32" s="41" t="s">
        <v>75</v>
      </c>
      <c r="G32" s="44">
        <f>G31*5%</f>
        <v>239502.4895</v>
      </c>
      <c r="H32" s="45" t="str">
        <f>VLOOKUP(B32,'Diciembre Data'!A:D,4,FALSE)</f>
        <v>UESP1323</v>
      </c>
      <c r="I32" s="54"/>
      <c r="J32" s="92"/>
      <c r="K32" s="35"/>
      <c r="O32" s="37"/>
    </row>
    <row r="33">
      <c r="A33" s="80" t="s">
        <v>10</v>
      </c>
      <c r="B33" s="70" t="s">
        <v>83</v>
      </c>
      <c r="C33" s="71" t="s">
        <v>59</v>
      </c>
      <c r="D33" s="81" t="s">
        <v>59</v>
      </c>
      <c r="E33" s="88"/>
      <c r="F33" s="71" t="s">
        <v>58</v>
      </c>
      <c r="G33" s="62">
        <f>G32</f>
        <v>239502.4895</v>
      </c>
      <c r="H33" s="82" t="str">
        <f>VLOOKUP(B33,'Diciembre Data'!A:D,4,FALSE)</f>
        <v>UESP1323</v>
      </c>
      <c r="I33" s="54"/>
      <c r="J33" s="83"/>
      <c r="K33" s="35"/>
      <c r="O33" s="37"/>
    </row>
    <row r="34">
      <c r="A34" s="91" t="s">
        <v>12</v>
      </c>
      <c r="B34" s="27" t="s">
        <v>85</v>
      </c>
      <c r="C34" s="28" t="s">
        <v>58</v>
      </c>
      <c r="D34" s="29" t="s">
        <v>69</v>
      </c>
      <c r="E34" s="30" t="s">
        <v>86</v>
      </c>
      <c r="F34" s="28" t="s">
        <v>71</v>
      </c>
      <c r="G34" s="31">
        <f>SUMIFS('Diciembre Data'!C:C,'Diciembre Data'!A:A,B34,'Diciembre Data'!B:B,F34)</f>
        <v>2680876.49</v>
      </c>
      <c r="H34" s="32" t="str">
        <f>VLOOKUP(B34,'Diciembre Data'!A:D,4,FALSE)</f>
        <v>UESP1336</v>
      </c>
      <c r="I34" s="33" t="s">
        <v>13</v>
      </c>
      <c r="J34" s="85">
        <f>J29+1</f>
        <v>291</v>
      </c>
      <c r="K34" s="93"/>
      <c r="O34" s="37"/>
    </row>
    <row r="35">
      <c r="A35" s="80" t="s">
        <v>12</v>
      </c>
      <c r="B35" s="70" t="s">
        <v>85</v>
      </c>
      <c r="C35" s="71" t="s">
        <v>72</v>
      </c>
      <c r="D35" s="72" t="s">
        <v>69</v>
      </c>
      <c r="E35" s="73" t="s">
        <v>86</v>
      </c>
      <c r="F35" s="71" t="s">
        <v>73</v>
      </c>
      <c r="G35" s="62">
        <f>SUMIFS('Diciembre Data'!C:C,'Diciembre Data'!A:A,B35,'Diciembre Data'!B:B,F35)</f>
        <v>16521.27</v>
      </c>
      <c r="H35" s="82" t="str">
        <f>VLOOKUP(B35,'Diciembre Data'!A:D,4,FALSE)</f>
        <v>UESP1336</v>
      </c>
      <c r="I35" s="46" t="s">
        <v>13</v>
      </c>
      <c r="J35" s="83"/>
      <c r="K35" s="35"/>
      <c r="O35" s="37"/>
    </row>
    <row r="36">
      <c r="A36" s="77" t="s">
        <v>12</v>
      </c>
      <c r="B36" s="49" t="s">
        <v>85</v>
      </c>
      <c r="C36" s="50" t="s">
        <v>72</v>
      </c>
      <c r="D36" s="50" t="s">
        <v>69</v>
      </c>
      <c r="E36" s="51" t="s">
        <v>86</v>
      </c>
      <c r="F36" s="50" t="s">
        <v>74</v>
      </c>
      <c r="G36" s="52">
        <f>G35+G34</f>
        <v>2697397.76</v>
      </c>
      <c r="H36" s="53" t="str">
        <f>VLOOKUP(B36,'Diciembre Data'!A:D,4,FALSE)</f>
        <v>UESP1336</v>
      </c>
      <c r="I36" s="54"/>
      <c r="J36" s="78"/>
      <c r="K36" s="35"/>
      <c r="O36" s="37"/>
    </row>
    <row r="37">
      <c r="A37" s="91" t="s">
        <v>12</v>
      </c>
      <c r="B37" s="27" t="s">
        <v>85</v>
      </c>
      <c r="C37" s="28" t="s">
        <v>59</v>
      </c>
      <c r="D37" s="56" t="s">
        <v>59</v>
      </c>
      <c r="E37" s="88"/>
      <c r="F37" s="41" t="s">
        <v>75</v>
      </c>
      <c r="G37" s="44">
        <f>G36*5%</f>
        <v>134869.888</v>
      </c>
      <c r="H37" s="45" t="str">
        <f>VLOOKUP(B37,'Diciembre Data'!A:D,4,FALSE)</f>
        <v>UESP1336</v>
      </c>
      <c r="I37" s="54"/>
      <c r="J37" s="92"/>
      <c r="K37" s="35"/>
      <c r="O37" s="37"/>
    </row>
    <row r="38">
      <c r="A38" s="80" t="s">
        <v>12</v>
      </c>
      <c r="B38" s="70" t="s">
        <v>85</v>
      </c>
      <c r="C38" s="71" t="s">
        <v>59</v>
      </c>
      <c r="D38" s="81" t="s">
        <v>59</v>
      </c>
      <c r="E38" s="88"/>
      <c r="F38" s="71" t="s">
        <v>58</v>
      </c>
      <c r="G38" s="62">
        <f>G37</f>
        <v>134869.888</v>
      </c>
      <c r="H38" s="82" t="str">
        <f>VLOOKUP(B38,'Diciembre Data'!A:D,4,FALSE)</f>
        <v>UESP1336</v>
      </c>
      <c r="I38" s="54"/>
      <c r="J38" s="83"/>
      <c r="K38" s="35"/>
      <c r="O38" s="37"/>
    </row>
    <row r="39">
      <c r="A39" s="94" t="s">
        <v>40</v>
      </c>
      <c r="B39" s="27" t="s">
        <v>87</v>
      </c>
      <c r="C39" s="28" t="s">
        <v>58</v>
      </c>
      <c r="D39" s="29" t="s">
        <v>69</v>
      </c>
      <c r="E39" s="30" t="s">
        <v>82</v>
      </c>
      <c r="F39" s="28" t="s">
        <v>71</v>
      </c>
      <c r="G39" s="95">
        <f>SUMIFS('Diciembre Data'!C:C,'Diciembre Data'!A:A,B39,'Diciembre Data'!B:B,F39)</f>
        <v>12077510.25</v>
      </c>
      <c r="H39" s="32" t="str">
        <f>VLOOKUP(B39,'Diciembre Data'!A:D,4,FALSE)</f>
        <v>UESP1339</v>
      </c>
      <c r="I39" s="33" t="s">
        <v>41</v>
      </c>
      <c r="J39" s="85">
        <f>J34+1</f>
        <v>292</v>
      </c>
      <c r="K39" s="35"/>
      <c r="O39" s="80"/>
    </row>
    <row r="40">
      <c r="A40" s="96" t="s">
        <v>40</v>
      </c>
      <c r="B40" s="70" t="s">
        <v>87</v>
      </c>
      <c r="C40" s="71" t="s">
        <v>72</v>
      </c>
      <c r="D40" s="72" t="s">
        <v>69</v>
      </c>
      <c r="E40" s="73" t="s">
        <v>82</v>
      </c>
      <c r="F40" s="71" t="s">
        <v>73</v>
      </c>
      <c r="G40" s="62">
        <f>SUMIFS('Diciembre Data'!C:C,'Diciembre Data'!A:A,B40,'Diciembre Data'!B:B,F40)</f>
        <v>75767.13</v>
      </c>
      <c r="H40" s="82" t="str">
        <f>VLOOKUP(B40,'Diciembre Data'!A:D,4,FALSE)</f>
        <v>UESP1339</v>
      </c>
      <c r="I40" s="46" t="s">
        <v>41</v>
      </c>
      <c r="J40" s="83"/>
      <c r="K40" s="35"/>
    </row>
    <row r="41">
      <c r="A41" s="77" t="s">
        <v>40</v>
      </c>
      <c r="B41" s="49" t="s">
        <v>87</v>
      </c>
      <c r="C41" s="50" t="s">
        <v>72</v>
      </c>
      <c r="D41" s="50" t="s">
        <v>69</v>
      </c>
      <c r="E41" s="51" t="s">
        <v>82</v>
      </c>
      <c r="F41" s="50" t="s">
        <v>74</v>
      </c>
      <c r="G41" s="52">
        <f>G40+G39</f>
        <v>12153277.38</v>
      </c>
      <c r="H41" s="53" t="str">
        <f>VLOOKUP(B41,'Diciembre Data'!A:D,4,FALSE)</f>
        <v>UESP1339</v>
      </c>
      <c r="I41" s="54"/>
      <c r="J41" s="78"/>
      <c r="K41" s="35"/>
    </row>
    <row r="42">
      <c r="A42" s="94" t="s">
        <v>40</v>
      </c>
      <c r="B42" s="27" t="s">
        <v>87</v>
      </c>
      <c r="C42" s="28" t="s">
        <v>59</v>
      </c>
      <c r="D42" s="56" t="s">
        <v>59</v>
      </c>
      <c r="E42" s="88"/>
      <c r="F42" s="41" t="s">
        <v>75</v>
      </c>
      <c r="G42" s="44">
        <f>G41*5%</f>
        <v>607663.869</v>
      </c>
      <c r="H42" s="45" t="str">
        <f>VLOOKUP(B42,'Diciembre Data'!A:D,4,FALSE)</f>
        <v>UESP1339</v>
      </c>
      <c r="I42" s="54"/>
      <c r="J42" s="92"/>
      <c r="K42" s="35"/>
    </row>
    <row r="43">
      <c r="A43" s="96" t="s">
        <v>40</v>
      </c>
      <c r="B43" s="70" t="s">
        <v>87</v>
      </c>
      <c r="C43" s="71" t="s">
        <v>59</v>
      </c>
      <c r="D43" s="81" t="s">
        <v>59</v>
      </c>
      <c r="E43" s="88"/>
      <c r="F43" s="71" t="s">
        <v>58</v>
      </c>
      <c r="G43" s="62">
        <f>G42</f>
        <v>607663.869</v>
      </c>
      <c r="H43" s="82" t="str">
        <f>VLOOKUP(B43,'Diciembre Data'!A:D,4,FALSE)</f>
        <v>UESP1339</v>
      </c>
      <c r="I43" s="54"/>
      <c r="J43" s="83"/>
      <c r="K43" s="35"/>
    </row>
    <row r="44">
      <c r="A44" s="91" t="s">
        <v>14</v>
      </c>
      <c r="B44" s="27" t="s">
        <v>88</v>
      </c>
      <c r="C44" s="28" t="s">
        <v>58</v>
      </c>
      <c r="D44" s="29" t="s">
        <v>69</v>
      </c>
      <c r="E44" s="30" t="s">
        <v>82</v>
      </c>
      <c r="F44" s="28" t="s">
        <v>71</v>
      </c>
      <c r="G44" s="31">
        <f>SUMIFS('Diciembre Data'!C:C,'Diciembre Data'!A:A,B44,'Diciembre Data'!B:B,F44)</f>
        <v>1943033.43</v>
      </c>
      <c r="H44" s="32" t="str">
        <f>VLOOKUP(B44,'Diciembre Data'!A:D,4,FALSE)</f>
        <v>UESP1329</v>
      </c>
      <c r="I44" s="33" t="s">
        <v>15</v>
      </c>
      <c r="J44" s="85">
        <f>J39+1</f>
        <v>293</v>
      </c>
      <c r="K44" s="35"/>
    </row>
    <row r="45">
      <c r="A45" s="80" t="s">
        <v>14</v>
      </c>
      <c r="B45" s="70" t="s">
        <v>88</v>
      </c>
      <c r="C45" s="71" t="s">
        <v>72</v>
      </c>
      <c r="D45" s="72" t="s">
        <v>69</v>
      </c>
      <c r="E45" s="73" t="s">
        <v>82</v>
      </c>
      <c r="F45" s="71" t="s">
        <v>73</v>
      </c>
      <c r="G45" s="62">
        <f>SUMIFS('Diciembre Data'!C:C,'Diciembre Data'!A:A,B45,'Diciembre Data'!B:B,F45)</f>
        <v>0</v>
      </c>
      <c r="H45" s="82" t="str">
        <f>VLOOKUP(B45,'Diciembre Data'!A:D,4,FALSE)</f>
        <v>UESP1329</v>
      </c>
      <c r="I45" s="46" t="s">
        <v>15</v>
      </c>
      <c r="J45" s="83"/>
      <c r="K45" s="35"/>
    </row>
    <row r="46">
      <c r="A46" s="77" t="s">
        <v>14</v>
      </c>
      <c r="B46" s="49" t="s">
        <v>88</v>
      </c>
      <c r="C46" s="50" t="s">
        <v>72</v>
      </c>
      <c r="D46" s="50" t="s">
        <v>69</v>
      </c>
      <c r="E46" s="51" t="s">
        <v>82</v>
      </c>
      <c r="F46" s="50" t="s">
        <v>74</v>
      </c>
      <c r="G46" s="52">
        <f>G45+G44</f>
        <v>1943033.43</v>
      </c>
      <c r="H46" s="53" t="str">
        <f>VLOOKUP(B46,'Diciembre Data'!A:D,4,FALSE)</f>
        <v>UESP1329</v>
      </c>
      <c r="I46" s="54"/>
      <c r="J46" s="78"/>
      <c r="K46" s="35"/>
    </row>
    <row r="47">
      <c r="A47" s="91" t="s">
        <v>14</v>
      </c>
      <c r="B47" s="27" t="s">
        <v>88</v>
      </c>
      <c r="C47" s="28" t="s">
        <v>59</v>
      </c>
      <c r="D47" s="56" t="s">
        <v>59</v>
      </c>
      <c r="E47" s="88"/>
      <c r="F47" s="41" t="s">
        <v>75</v>
      </c>
      <c r="G47" s="44">
        <f>G46*5%</f>
        <v>97151.6715</v>
      </c>
      <c r="H47" s="45" t="str">
        <f>VLOOKUP(B47,'Diciembre Data'!A:D,4,FALSE)</f>
        <v>UESP1329</v>
      </c>
      <c r="I47" s="54"/>
      <c r="J47" s="92"/>
      <c r="K47" s="35"/>
    </row>
    <row r="48">
      <c r="A48" s="80" t="s">
        <v>14</v>
      </c>
      <c r="B48" s="70" t="s">
        <v>88</v>
      </c>
      <c r="C48" s="71" t="s">
        <v>59</v>
      </c>
      <c r="D48" s="81" t="s">
        <v>59</v>
      </c>
      <c r="E48" s="88"/>
      <c r="F48" s="71" t="s">
        <v>58</v>
      </c>
      <c r="G48" s="62">
        <f>G47</f>
        <v>97151.6715</v>
      </c>
      <c r="H48" s="82" t="str">
        <f>VLOOKUP(B48,'Diciembre Data'!A:D,4,FALSE)</f>
        <v>UESP1329</v>
      </c>
      <c r="I48" s="54"/>
      <c r="J48" s="83"/>
      <c r="K48" s="35"/>
    </row>
    <row r="49">
      <c r="A49" s="91" t="s">
        <v>16</v>
      </c>
      <c r="B49" s="27" t="s">
        <v>89</v>
      </c>
      <c r="C49" s="28" t="s">
        <v>58</v>
      </c>
      <c r="D49" s="29" t="s">
        <v>69</v>
      </c>
      <c r="E49" s="30" t="s">
        <v>82</v>
      </c>
      <c r="F49" s="28" t="s">
        <v>71</v>
      </c>
      <c r="G49" s="31">
        <f>SUMIFS('Diciembre Data'!C:C,'Diciembre Data'!A:A,B49,'Diciembre Data'!B:B,F49)</f>
        <v>2359601.88</v>
      </c>
      <c r="H49" s="32" t="str">
        <f>VLOOKUP(B49,'Diciembre Data'!A:D,4,FALSE)</f>
        <v>UESP1335</v>
      </c>
      <c r="I49" s="33" t="s">
        <v>17</v>
      </c>
      <c r="J49" s="85">
        <f>J44+1</f>
        <v>294</v>
      </c>
      <c r="K49" s="35"/>
    </row>
    <row r="50">
      <c r="A50" s="80" t="s">
        <v>16</v>
      </c>
      <c r="B50" s="70" t="s">
        <v>89</v>
      </c>
      <c r="C50" s="71" t="s">
        <v>58</v>
      </c>
      <c r="D50" s="72" t="s">
        <v>69</v>
      </c>
      <c r="E50" s="73" t="s">
        <v>82</v>
      </c>
      <c r="F50" s="71" t="s">
        <v>73</v>
      </c>
      <c r="G50" s="62">
        <f>SUMIFS('Diciembre Data'!C:C,'Diciembre Data'!A:A,B50,'Diciembre Data'!B:B,F50)</f>
        <v>317112.94</v>
      </c>
      <c r="H50" s="82" t="str">
        <f>VLOOKUP(B50,'Diciembre Data'!A:D,4,FALSE)</f>
        <v>UESP1335</v>
      </c>
      <c r="I50" s="46" t="s">
        <v>17</v>
      </c>
      <c r="J50" s="83"/>
      <c r="K50" s="35"/>
    </row>
    <row r="51">
      <c r="A51" s="77" t="s">
        <v>16</v>
      </c>
      <c r="B51" s="49" t="s">
        <v>89</v>
      </c>
      <c r="C51" s="50" t="s">
        <v>58</v>
      </c>
      <c r="D51" s="50" t="s">
        <v>69</v>
      </c>
      <c r="E51" s="51" t="s">
        <v>82</v>
      </c>
      <c r="F51" s="50" t="s">
        <v>74</v>
      </c>
      <c r="G51" s="52">
        <f>G50+G49</f>
        <v>2676714.82</v>
      </c>
      <c r="H51" s="53" t="str">
        <f>VLOOKUP(B51,'Diciembre Data'!A:D,4,FALSE)</f>
        <v>UESP1335</v>
      </c>
      <c r="I51" s="54"/>
      <c r="J51" s="78"/>
      <c r="K51" s="35"/>
    </row>
    <row r="52">
      <c r="A52" s="91" t="s">
        <v>16</v>
      </c>
      <c r="B52" s="27" t="s">
        <v>89</v>
      </c>
      <c r="C52" s="28" t="s">
        <v>59</v>
      </c>
      <c r="D52" s="56" t="s">
        <v>59</v>
      </c>
      <c r="E52" s="88"/>
      <c r="F52" s="41" t="s">
        <v>75</v>
      </c>
      <c r="G52" s="44">
        <f>G51*5%</f>
        <v>133835.741</v>
      </c>
      <c r="H52" s="45" t="str">
        <f>VLOOKUP(B52,'Diciembre Data'!A:D,4,FALSE)</f>
        <v>UESP1335</v>
      </c>
      <c r="I52" s="54"/>
      <c r="J52" s="92"/>
      <c r="K52" s="35"/>
    </row>
    <row r="53">
      <c r="A53" s="37" t="s">
        <v>16</v>
      </c>
      <c r="B53" s="40" t="s">
        <v>89</v>
      </c>
      <c r="C53" s="41" t="s">
        <v>59</v>
      </c>
      <c r="D53" s="56" t="s">
        <v>59</v>
      </c>
      <c r="E53" s="88"/>
      <c r="F53" s="41" t="s">
        <v>58</v>
      </c>
      <c r="G53" s="62">
        <f>G52</f>
        <v>133835.741</v>
      </c>
      <c r="H53" s="45" t="str">
        <f>VLOOKUP(B53,'Diciembre Data'!A:D,4,FALSE)</f>
        <v>UESP1335</v>
      </c>
      <c r="I53" s="54"/>
      <c r="J53" s="79"/>
      <c r="K53" s="35"/>
    </row>
    <row r="54">
      <c r="A54" s="26" t="s">
        <v>42</v>
      </c>
      <c r="B54" s="27" t="s">
        <v>90</v>
      </c>
      <c r="C54" s="28" t="s">
        <v>58</v>
      </c>
      <c r="D54" s="29" t="s">
        <v>69</v>
      </c>
      <c r="E54" s="30" t="s">
        <v>82</v>
      </c>
      <c r="F54" s="28" t="s">
        <v>71</v>
      </c>
      <c r="G54" s="31">
        <f>SUMIFS('Diciembre Data'!C:C,'Diciembre Data'!A:A,B54,'Diciembre Data'!B:B,F54)</f>
        <v>2544083.64</v>
      </c>
      <c r="H54" s="63" t="str">
        <f>VLOOKUP(B54,'Diciembre Data'!A:D,4,FALSE)</f>
        <v>UESP1333</v>
      </c>
      <c r="I54" s="64" t="s">
        <v>43</v>
      </c>
      <c r="J54" s="65">
        <f>J49+1</f>
        <v>295</v>
      </c>
      <c r="K54" s="35"/>
    </row>
    <row r="55">
      <c r="A55" s="39" t="s">
        <v>42</v>
      </c>
      <c r="B55" s="40" t="s">
        <v>90</v>
      </c>
      <c r="C55" s="41" t="s">
        <v>72</v>
      </c>
      <c r="D55" s="42" t="s">
        <v>69</v>
      </c>
      <c r="E55" s="43" t="s">
        <v>82</v>
      </c>
      <c r="F55" s="41" t="s">
        <v>73</v>
      </c>
      <c r="G55" s="44">
        <f>SUMIFS('Diciembre Data'!C:C,'Diciembre Data'!A:A,B55,'Diciembre Data'!B:B,F55)</f>
        <v>44557.61</v>
      </c>
      <c r="H55" s="66" t="str">
        <f>VLOOKUP(B55,'Diciembre Data'!A:D,4,FALSE)</f>
        <v>UESP1333</v>
      </c>
      <c r="I55" s="67" t="s">
        <v>43</v>
      </c>
      <c r="J55" s="68"/>
      <c r="K55" s="35"/>
    </row>
    <row r="56">
      <c r="A56" s="69" t="s">
        <v>42</v>
      </c>
      <c r="B56" s="70" t="s">
        <v>90</v>
      </c>
      <c r="C56" s="71" t="s">
        <v>72</v>
      </c>
      <c r="D56" s="72" t="s">
        <v>69</v>
      </c>
      <c r="E56" s="73"/>
      <c r="F56" s="74" t="s">
        <v>80</v>
      </c>
      <c r="G56" s="75">
        <f>(G54+G55)*4%</f>
        <v>103545.65</v>
      </c>
      <c r="H56" s="66" t="str">
        <f>VLOOKUP(B56,'Diciembre Data'!A:D,4,FALSE)</f>
        <v>UESP1333</v>
      </c>
      <c r="I56" s="71"/>
      <c r="J56" s="76"/>
      <c r="K56" s="35"/>
    </row>
    <row r="57">
      <c r="A57" s="77" t="s">
        <v>42</v>
      </c>
      <c r="B57" s="49" t="s">
        <v>90</v>
      </c>
      <c r="C57" s="50" t="s">
        <v>72</v>
      </c>
      <c r="D57" s="50" t="s">
        <v>69</v>
      </c>
      <c r="E57" s="51" t="s">
        <v>82</v>
      </c>
      <c r="F57" s="50" t="s">
        <v>74</v>
      </c>
      <c r="G57" s="52">
        <f>G54+G55-G56</f>
        <v>2485095.6</v>
      </c>
      <c r="H57" s="53" t="str">
        <f>VLOOKUP(B57,'Diciembre Data'!A:D,4,FALSE)</f>
        <v>UESP1333</v>
      </c>
      <c r="I57" s="54"/>
      <c r="J57" s="78"/>
      <c r="K57" s="35"/>
    </row>
    <row r="58">
      <c r="A58" s="91" t="s">
        <v>42</v>
      </c>
      <c r="B58" s="27" t="s">
        <v>90</v>
      </c>
      <c r="C58" s="28" t="s">
        <v>59</v>
      </c>
      <c r="D58" s="56" t="s">
        <v>59</v>
      </c>
      <c r="E58" s="88"/>
      <c r="F58" s="41" t="s">
        <v>75</v>
      </c>
      <c r="G58" s="44">
        <f>G57*5%</f>
        <v>124254.78</v>
      </c>
      <c r="H58" s="45" t="str">
        <f>VLOOKUP(B58,'Diciembre Data'!A:D,4,FALSE)</f>
        <v>UESP1333</v>
      </c>
      <c r="I58" s="54"/>
      <c r="J58" s="92"/>
      <c r="K58" s="35"/>
    </row>
    <row r="59">
      <c r="A59" s="37" t="s">
        <v>42</v>
      </c>
      <c r="B59" s="40" t="s">
        <v>90</v>
      </c>
      <c r="C59" s="41" t="s">
        <v>59</v>
      </c>
      <c r="D59" s="56" t="s">
        <v>59</v>
      </c>
      <c r="E59" s="88"/>
      <c r="F59" s="41" t="s">
        <v>58</v>
      </c>
      <c r="G59" s="62">
        <f>G58</f>
        <v>124254.78</v>
      </c>
      <c r="H59" s="45" t="str">
        <f>VLOOKUP(B59,'Diciembre Data'!A:D,4,FALSE)</f>
        <v>UESP1333</v>
      </c>
      <c r="I59" s="54"/>
      <c r="J59" s="79"/>
      <c r="K59" s="35"/>
    </row>
    <row r="60">
      <c r="A60" s="26" t="s">
        <v>18</v>
      </c>
      <c r="B60" s="27" t="s">
        <v>91</v>
      </c>
      <c r="C60" s="28" t="s">
        <v>58</v>
      </c>
      <c r="D60" s="29" t="s">
        <v>69</v>
      </c>
      <c r="E60" s="30" t="s">
        <v>92</v>
      </c>
      <c r="F60" s="28" t="s">
        <v>71</v>
      </c>
      <c r="G60" s="31">
        <f>SUMIFS('Diciembre Data'!C:C,'Diciembre Data'!A:A,B60,'Diciembre Data'!B:B,F60)</f>
        <v>1569583.45</v>
      </c>
      <c r="H60" s="63" t="str">
        <f>VLOOKUP(B60,'Diciembre Data'!A:D,4,FALSE)</f>
        <v>UESP1322</v>
      </c>
      <c r="I60" s="64" t="s">
        <v>19</v>
      </c>
      <c r="J60" s="65">
        <f>J54+1</f>
        <v>296</v>
      </c>
      <c r="K60" s="35"/>
    </row>
    <row r="61">
      <c r="A61" s="39" t="s">
        <v>18</v>
      </c>
      <c r="B61" s="40" t="s">
        <v>91</v>
      </c>
      <c r="C61" s="41" t="s">
        <v>72</v>
      </c>
      <c r="D61" s="42" t="s">
        <v>69</v>
      </c>
      <c r="E61" s="43" t="s">
        <v>92</v>
      </c>
      <c r="F61" s="41" t="s">
        <v>73</v>
      </c>
      <c r="G61" s="44">
        <f>SUMIFS('Diciembre Data'!C:C,'Diciembre Data'!A:A,B61,'Diciembre Data'!B:B,F61)</f>
        <v>12999.13</v>
      </c>
      <c r="H61" s="66" t="str">
        <f>VLOOKUP(B61,'Diciembre Data'!A:D,4,FALSE)</f>
        <v>UESP1322</v>
      </c>
      <c r="I61" s="67" t="s">
        <v>19</v>
      </c>
      <c r="J61" s="68"/>
      <c r="K61" s="35"/>
    </row>
    <row r="62">
      <c r="A62" s="69" t="s">
        <v>18</v>
      </c>
      <c r="B62" s="70" t="s">
        <v>91</v>
      </c>
      <c r="C62" s="71" t="s">
        <v>72</v>
      </c>
      <c r="D62" s="72" t="s">
        <v>69</v>
      </c>
      <c r="E62" s="73" t="s">
        <v>92</v>
      </c>
      <c r="F62" s="74" t="s">
        <v>80</v>
      </c>
      <c r="G62" s="75">
        <f>(G60+G61)*2.5%</f>
        <v>39564.5645</v>
      </c>
      <c r="H62" s="66" t="str">
        <f>VLOOKUP(B62,'Diciembre Data'!A:D,4,FALSE)</f>
        <v>UESP1322</v>
      </c>
      <c r="I62" s="71"/>
      <c r="J62" s="76"/>
      <c r="K62" s="35"/>
    </row>
    <row r="63">
      <c r="A63" s="77" t="s">
        <v>18</v>
      </c>
      <c r="B63" s="49" t="s">
        <v>91</v>
      </c>
      <c r="C63" s="50" t="s">
        <v>72</v>
      </c>
      <c r="D63" s="50" t="s">
        <v>69</v>
      </c>
      <c r="E63" s="51" t="s">
        <v>92</v>
      </c>
      <c r="F63" s="50" t="s">
        <v>74</v>
      </c>
      <c r="G63" s="52">
        <f>G60+G61-G62</f>
        <v>1543018.016</v>
      </c>
      <c r="H63" s="53"/>
      <c r="I63" s="54"/>
      <c r="J63" s="78"/>
      <c r="K63" s="35"/>
    </row>
    <row r="64">
      <c r="A64" s="91" t="s">
        <v>18</v>
      </c>
      <c r="B64" s="27" t="s">
        <v>91</v>
      </c>
      <c r="C64" s="28" t="s">
        <v>59</v>
      </c>
      <c r="D64" s="56" t="s">
        <v>59</v>
      </c>
      <c r="E64" s="88"/>
      <c r="F64" s="41" t="s">
        <v>75</v>
      </c>
      <c r="G64" s="44">
        <f>G63*5%</f>
        <v>77150.90078</v>
      </c>
      <c r="H64" s="45" t="str">
        <f>VLOOKUP(B64,'Diciembre Data'!A:D,4,FALSE)</f>
        <v>UESP1322</v>
      </c>
      <c r="I64" s="54"/>
      <c r="J64" s="92"/>
      <c r="K64" s="35"/>
    </row>
    <row r="65">
      <c r="A65" s="37" t="s">
        <v>18</v>
      </c>
      <c r="B65" s="40" t="s">
        <v>91</v>
      </c>
      <c r="C65" s="41" t="s">
        <v>59</v>
      </c>
      <c r="D65" s="56" t="s">
        <v>59</v>
      </c>
      <c r="E65" s="88"/>
      <c r="F65" s="41" t="s">
        <v>58</v>
      </c>
      <c r="G65" s="62">
        <f>G64</f>
        <v>77150.90078</v>
      </c>
      <c r="H65" s="45" t="str">
        <f>VLOOKUP(B65,'Diciembre Data'!A:D,4,FALSE)</f>
        <v>UESP1322</v>
      </c>
      <c r="I65" s="54"/>
      <c r="J65" s="79"/>
      <c r="K65" s="35"/>
    </row>
    <row r="66" ht="15.0" customHeight="1">
      <c r="A66" s="26" t="s">
        <v>20</v>
      </c>
      <c r="B66" s="27" t="s">
        <v>93</v>
      </c>
      <c r="C66" s="28" t="s">
        <v>58</v>
      </c>
      <c r="D66" s="29" t="s">
        <v>69</v>
      </c>
      <c r="E66" s="30" t="s">
        <v>82</v>
      </c>
      <c r="F66" s="28" t="s">
        <v>71</v>
      </c>
      <c r="G66" s="31">
        <f>SUMIFS('Diciembre Data'!C:C,'Diciembre Data'!A:A,B66,'Diciembre Data'!B:B,F66)</f>
        <v>1626816.38</v>
      </c>
      <c r="H66" s="63" t="str">
        <f>VLOOKUP(B66,'Diciembre Data'!A:D,4,FALSE)</f>
        <v>UESP1324</v>
      </c>
      <c r="I66" s="64" t="s">
        <v>21</v>
      </c>
      <c r="J66" s="65">
        <f>J60+1</f>
        <v>297</v>
      </c>
      <c r="K66" s="35"/>
    </row>
    <row r="67" ht="14.25" customHeight="1">
      <c r="A67" s="39" t="s">
        <v>20</v>
      </c>
      <c r="B67" s="40" t="s">
        <v>93</v>
      </c>
      <c r="C67" s="41" t="s">
        <v>72</v>
      </c>
      <c r="D67" s="42" t="s">
        <v>69</v>
      </c>
      <c r="E67" s="43" t="s">
        <v>82</v>
      </c>
      <c r="F67" s="41" t="s">
        <v>73</v>
      </c>
      <c r="G67" s="44">
        <f>SUMIFS('Diciembre Data'!C:C,'Diciembre Data'!A:A,B67,'Diciembre Data'!B:B,F67)</f>
        <v>0</v>
      </c>
      <c r="H67" s="66" t="str">
        <f>VLOOKUP(B67,'Diciembre Data'!A:D,4,FALSE)</f>
        <v>UESP1324</v>
      </c>
      <c r="I67" s="67" t="s">
        <v>21</v>
      </c>
      <c r="J67" s="68"/>
      <c r="K67" s="35"/>
    </row>
    <row r="68" ht="14.25" customHeight="1">
      <c r="A68" s="69" t="s">
        <v>20</v>
      </c>
      <c r="B68" s="70" t="s">
        <v>93</v>
      </c>
      <c r="C68" s="71" t="s">
        <v>72</v>
      </c>
      <c r="D68" s="72" t="s">
        <v>69</v>
      </c>
      <c r="E68" s="73"/>
      <c r="F68" s="74" t="s">
        <v>80</v>
      </c>
      <c r="G68" s="75">
        <f>(G66+G67)*2.5%</f>
        <v>40670.4095</v>
      </c>
      <c r="H68" s="66" t="str">
        <f>VLOOKUP(B68,'Diciembre Data'!A:D,4,FALSE)</f>
        <v>UESP1324</v>
      </c>
      <c r="I68" s="71"/>
      <c r="J68" s="76"/>
      <c r="K68" s="35"/>
    </row>
    <row r="69" ht="13.5" customHeight="1">
      <c r="A69" s="77" t="s">
        <v>20</v>
      </c>
      <c r="B69" s="49" t="s">
        <v>93</v>
      </c>
      <c r="C69" s="50" t="s">
        <v>72</v>
      </c>
      <c r="D69" s="50" t="s">
        <v>69</v>
      </c>
      <c r="E69" s="51" t="s">
        <v>82</v>
      </c>
      <c r="F69" s="50" t="s">
        <v>74</v>
      </c>
      <c r="G69" s="52">
        <f>G66+G67-G68</f>
        <v>1586145.971</v>
      </c>
      <c r="H69" s="97" t="str">
        <f>VLOOKUP(B69,'Diciembre Data'!A:D,4,FALSE)</f>
        <v>UESP1324</v>
      </c>
      <c r="I69" s="98"/>
      <c r="J69" s="78"/>
      <c r="K69" s="35"/>
    </row>
    <row r="70" ht="15.0" customHeight="1">
      <c r="A70" s="91" t="s">
        <v>20</v>
      </c>
      <c r="B70" s="27" t="s">
        <v>93</v>
      </c>
      <c r="C70" s="28" t="s">
        <v>59</v>
      </c>
      <c r="D70" s="56" t="s">
        <v>59</v>
      </c>
      <c r="E70" s="88"/>
      <c r="F70" s="41" t="s">
        <v>75</v>
      </c>
      <c r="G70" s="44">
        <f>G69*5%</f>
        <v>79307.29853</v>
      </c>
      <c r="H70" s="45" t="str">
        <f>VLOOKUP(B70,'Diciembre Data'!A:D,4,FALSE)</f>
        <v>UESP1324</v>
      </c>
      <c r="I70" s="98"/>
      <c r="J70" s="92"/>
      <c r="K70" s="35"/>
    </row>
    <row r="71" ht="18.0" customHeight="1">
      <c r="A71" s="80" t="s">
        <v>20</v>
      </c>
      <c r="B71" s="70" t="s">
        <v>93</v>
      </c>
      <c r="C71" s="71" t="s">
        <v>59</v>
      </c>
      <c r="D71" s="81" t="s">
        <v>59</v>
      </c>
      <c r="E71" s="88"/>
      <c r="F71" s="71" t="s">
        <v>58</v>
      </c>
      <c r="G71" s="62">
        <f>G70</f>
        <v>79307.29853</v>
      </c>
      <c r="H71" s="82" t="str">
        <f>VLOOKUP(B71,'Diciembre Data'!A:D,4,FALSE)</f>
        <v>UESP1324</v>
      </c>
      <c r="I71" s="98"/>
      <c r="J71" s="83"/>
      <c r="K71" s="35"/>
    </row>
    <row r="72">
      <c r="A72" s="91" t="s">
        <v>22</v>
      </c>
      <c r="B72" s="27" t="s">
        <v>94</v>
      </c>
      <c r="C72" s="28" t="s">
        <v>58</v>
      </c>
      <c r="D72" s="29" t="s">
        <v>69</v>
      </c>
      <c r="E72" s="30" t="s">
        <v>92</v>
      </c>
      <c r="F72" s="28" t="s">
        <v>71</v>
      </c>
      <c r="G72" s="31">
        <f>SUMIFS('Diciembre Data'!C:C,'Diciembre Data'!A:A,B72,'Diciembre Data'!B:B,F72)</f>
        <v>3011589.41</v>
      </c>
      <c r="H72" s="32" t="str">
        <f>VLOOKUP(B72,'Diciembre Data'!A:D,4,FALSE)</f>
        <v>UESP1326</v>
      </c>
      <c r="I72" s="33" t="s">
        <v>23</v>
      </c>
      <c r="J72" s="85">
        <f>J66+1</f>
        <v>298</v>
      </c>
      <c r="K72" s="35"/>
    </row>
    <row r="73">
      <c r="A73" s="80" t="s">
        <v>22</v>
      </c>
      <c r="B73" s="70" t="s">
        <v>94</v>
      </c>
      <c r="C73" s="71" t="s">
        <v>72</v>
      </c>
      <c r="D73" s="72" t="s">
        <v>69</v>
      </c>
      <c r="E73" s="73" t="s">
        <v>92</v>
      </c>
      <c r="F73" s="71" t="s">
        <v>73</v>
      </c>
      <c r="G73" s="62">
        <f>SUMIFS('Diciembre Data'!C:C,'Diciembre Data'!A:A,B73,'Diciembre Data'!B:B,F73)</f>
        <v>92079.71</v>
      </c>
      <c r="H73" s="82" t="str">
        <f>VLOOKUP(B73,'Diciembre Data'!A:D,4,FALSE)</f>
        <v>UESP1326</v>
      </c>
      <c r="I73" s="46" t="s">
        <v>23</v>
      </c>
      <c r="J73" s="83"/>
      <c r="K73" s="35"/>
    </row>
    <row r="74">
      <c r="A74" s="77" t="s">
        <v>22</v>
      </c>
      <c r="B74" s="49" t="s">
        <v>94</v>
      </c>
      <c r="C74" s="50" t="s">
        <v>72</v>
      </c>
      <c r="D74" s="50" t="s">
        <v>69</v>
      </c>
      <c r="E74" s="51" t="s">
        <v>92</v>
      </c>
      <c r="F74" s="50" t="s">
        <v>74</v>
      </c>
      <c r="G74" s="52">
        <f>G73+G72</f>
        <v>3103669.12</v>
      </c>
      <c r="H74" s="97" t="str">
        <f>VLOOKUP(B74,'Diciembre Data'!A:D,4,FALSE)</f>
        <v>UESP1326</v>
      </c>
      <c r="I74" s="98"/>
      <c r="J74" s="78"/>
      <c r="K74" s="35"/>
    </row>
    <row r="75">
      <c r="A75" s="91" t="s">
        <v>22</v>
      </c>
      <c r="B75" s="27" t="s">
        <v>94</v>
      </c>
      <c r="C75" s="28" t="s">
        <v>59</v>
      </c>
      <c r="D75" s="56" t="s">
        <v>59</v>
      </c>
      <c r="E75" s="88"/>
      <c r="F75" s="41" t="s">
        <v>75</v>
      </c>
      <c r="G75" s="44">
        <f>G74*5%</f>
        <v>155183.456</v>
      </c>
      <c r="H75" s="45" t="str">
        <f>VLOOKUP(B75,'Diciembre Data'!A:D,4,FALSE)</f>
        <v>UESP1326</v>
      </c>
      <c r="I75" s="98"/>
      <c r="J75" s="92"/>
      <c r="K75" s="35"/>
    </row>
    <row r="76">
      <c r="A76" s="80" t="s">
        <v>22</v>
      </c>
      <c r="B76" s="70" t="s">
        <v>94</v>
      </c>
      <c r="C76" s="71" t="s">
        <v>59</v>
      </c>
      <c r="D76" s="81" t="s">
        <v>59</v>
      </c>
      <c r="E76" s="88"/>
      <c r="F76" s="71" t="s">
        <v>58</v>
      </c>
      <c r="G76" s="62">
        <f>G75</f>
        <v>155183.456</v>
      </c>
      <c r="H76" s="82" t="str">
        <f>VLOOKUP(B76,'Diciembre Data'!A:D,4,FALSE)</f>
        <v>UESP1326</v>
      </c>
      <c r="I76" s="98"/>
      <c r="J76" s="83"/>
      <c r="K76" s="35"/>
    </row>
    <row r="77">
      <c r="A77" s="91" t="s">
        <v>24</v>
      </c>
      <c r="B77" s="27" t="s">
        <v>95</v>
      </c>
      <c r="C77" s="28" t="s">
        <v>58</v>
      </c>
      <c r="D77" s="29" t="s">
        <v>69</v>
      </c>
      <c r="E77" s="30" t="s">
        <v>96</v>
      </c>
      <c r="F77" s="28" t="s">
        <v>71</v>
      </c>
      <c r="G77" s="31">
        <f>SUMIFS('Diciembre Data'!C:C,'Diciembre Data'!A:A,B77,'Diciembre Data'!B:B,F77)</f>
        <v>2349990.65</v>
      </c>
      <c r="H77" s="32" t="str">
        <f>VLOOKUP(B77,'Diciembre Data'!A:D,4,FALSE)</f>
        <v>UESP1331</v>
      </c>
      <c r="I77" s="33" t="s">
        <v>25</v>
      </c>
      <c r="J77" s="85">
        <f>J72+1</f>
        <v>299</v>
      </c>
      <c r="K77" s="35"/>
    </row>
    <row r="78">
      <c r="A78" s="80" t="s">
        <v>24</v>
      </c>
      <c r="B78" s="70" t="s">
        <v>95</v>
      </c>
      <c r="C78" s="71" t="s">
        <v>72</v>
      </c>
      <c r="D78" s="72" t="s">
        <v>69</v>
      </c>
      <c r="E78" s="73" t="s">
        <v>96</v>
      </c>
      <c r="F78" s="71" t="s">
        <v>73</v>
      </c>
      <c r="G78" s="62">
        <f>SUMIFS('Diciembre Data'!C:C,'Diciembre Data'!A:A,B78,'Diciembre Data'!B:B,F78)</f>
        <v>0</v>
      </c>
      <c r="H78" s="82" t="str">
        <f>VLOOKUP(B78,'Diciembre Data'!A:D,4,FALSE)</f>
        <v>UESP1331</v>
      </c>
      <c r="I78" s="46" t="s">
        <v>25</v>
      </c>
      <c r="J78" s="83"/>
      <c r="K78" s="35"/>
    </row>
    <row r="79">
      <c r="A79" s="77" t="s">
        <v>24</v>
      </c>
      <c r="B79" s="49" t="s">
        <v>95</v>
      </c>
      <c r="C79" s="50" t="s">
        <v>72</v>
      </c>
      <c r="D79" s="50" t="s">
        <v>69</v>
      </c>
      <c r="E79" s="51" t="s">
        <v>96</v>
      </c>
      <c r="F79" s="50" t="s">
        <v>74</v>
      </c>
      <c r="G79" s="52">
        <f>G78+G77</f>
        <v>2349990.65</v>
      </c>
      <c r="H79" s="97" t="str">
        <f>VLOOKUP(B79,'Diciembre Data'!A:D,4,FALSE)</f>
        <v>UESP1331</v>
      </c>
      <c r="I79" s="98"/>
      <c r="J79" s="78"/>
      <c r="K79" s="35"/>
    </row>
    <row r="80">
      <c r="A80" s="91" t="s">
        <v>24</v>
      </c>
      <c r="B80" s="27" t="s">
        <v>95</v>
      </c>
      <c r="C80" s="28" t="s">
        <v>59</v>
      </c>
      <c r="D80" s="56" t="s">
        <v>59</v>
      </c>
      <c r="E80" s="88"/>
      <c r="F80" s="41" t="s">
        <v>75</v>
      </c>
      <c r="G80" s="44">
        <f>G79*5%</f>
        <v>117499.5325</v>
      </c>
      <c r="H80" s="45" t="str">
        <f>VLOOKUP(B80,'Diciembre Data'!A:D,4,FALSE)</f>
        <v>UESP1331</v>
      </c>
      <c r="I80" s="98"/>
      <c r="J80" s="92"/>
      <c r="K80" s="35"/>
    </row>
    <row r="81">
      <c r="A81" s="37" t="s">
        <v>24</v>
      </c>
      <c r="B81" s="40" t="s">
        <v>95</v>
      </c>
      <c r="C81" s="41" t="s">
        <v>59</v>
      </c>
      <c r="D81" s="56" t="s">
        <v>59</v>
      </c>
      <c r="E81" s="88"/>
      <c r="F81" s="41" t="s">
        <v>58</v>
      </c>
      <c r="G81" s="62">
        <f>G80</f>
        <v>117499.5325</v>
      </c>
      <c r="H81" s="45" t="str">
        <f>VLOOKUP(B81,'Diciembre Data'!A:D,4,FALSE)</f>
        <v>UESP1331</v>
      </c>
      <c r="I81" s="98"/>
      <c r="J81" s="79"/>
      <c r="K81" s="35"/>
    </row>
    <row r="82">
      <c r="A82" s="58" t="s">
        <v>26</v>
      </c>
      <c r="B82" s="27" t="s">
        <v>97</v>
      </c>
      <c r="C82" s="28" t="s">
        <v>58</v>
      </c>
      <c r="D82" s="29" t="s">
        <v>69</v>
      </c>
      <c r="E82" s="30" t="s">
        <v>82</v>
      </c>
      <c r="F82" s="28" t="s">
        <v>71</v>
      </c>
      <c r="G82" s="31">
        <f>SUMIFS('Diciembre Data'!C:C,'Diciembre Data'!A:A,B82,'Diciembre Data'!B:B,F82)</f>
        <v>0</v>
      </c>
      <c r="H82" s="63" t="str">
        <f>VLOOKUP(B82,'Diciembre Data'!A:D,4,FALSE)</f>
        <v>#N/A</v>
      </c>
      <c r="I82" s="64" t="s">
        <v>27</v>
      </c>
      <c r="J82" s="99">
        <f>J77+1</f>
        <v>300</v>
      </c>
      <c r="K82" s="35"/>
    </row>
    <row r="83">
      <c r="A83" s="60" t="s">
        <v>26</v>
      </c>
      <c r="B83" s="40" t="s">
        <v>97</v>
      </c>
      <c r="C83" s="41" t="s">
        <v>72</v>
      </c>
      <c r="D83" s="42" t="s">
        <v>69</v>
      </c>
      <c r="E83" s="43" t="s">
        <v>82</v>
      </c>
      <c r="F83" s="41" t="s">
        <v>73</v>
      </c>
      <c r="G83" s="44">
        <f>SUMIFS('Diciembre Data'!C:C,'Diciembre Data'!A:A,B83,'Diciembre Data'!B:B,F83)</f>
        <v>0</v>
      </c>
      <c r="H83" s="66" t="str">
        <f>VLOOKUP(B83,'Diciembre Data'!A:D,4,FALSE)</f>
        <v>#N/A</v>
      </c>
      <c r="I83" s="67" t="s">
        <v>27</v>
      </c>
      <c r="J83" s="68"/>
      <c r="K83" s="35"/>
    </row>
    <row r="84">
      <c r="A84" s="100" t="s">
        <v>26</v>
      </c>
      <c r="B84" s="70" t="s">
        <v>97</v>
      </c>
      <c r="C84" s="71" t="s">
        <v>72</v>
      </c>
      <c r="D84" s="72" t="s">
        <v>69</v>
      </c>
      <c r="E84" s="73"/>
      <c r="F84" s="74" t="s">
        <v>80</v>
      </c>
      <c r="G84" s="75">
        <f>(G82+G83)*2.5%</f>
        <v>0</v>
      </c>
      <c r="H84" s="66" t="str">
        <f>VLOOKUP(B84,'Diciembre Data'!A:D,4,FALSE)</f>
        <v>#N/A</v>
      </c>
      <c r="I84" s="71"/>
      <c r="J84" s="76"/>
      <c r="K84" s="35"/>
    </row>
    <row r="85">
      <c r="A85" s="101" t="s">
        <v>26</v>
      </c>
      <c r="B85" s="49" t="s">
        <v>97</v>
      </c>
      <c r="C85" s="50" t="s">
        <v>72</v>
      </c>
      <c r="D85" s="50" t="s">
        <v>69</v>
      </c>
      <c r="E85" s="51" t="s">
        <v>82</v>
      </c>
      <c r="F85" s="50" t="s">
        <v>74</v>
      </c>
      <c r="G85" s="52">
        <f>G82+G83-G84</f>
        <v>0</v>
      </c>
      <c r="H85" s="97" t="str">
        <f>VLOOKUP(B85,'Diciembre Data'!A:D,4,FALSE)</f>
        <v>#N/A</v>
      </c>
      <c r="I85" s="98"/>
      <c r="J85" s="78"/>
      <c r="K85" s="35"/>
    </row>
    <row r="86">
      <c r="A86" s="102" t="s">
        <v>26</v>
      </c>
      <c r="B86" s="27" t="s">
        <v>97</v>
      </c>
      <c r="C86" s="28" t="s">
        <v>59</v>
      </c>
      <c r="D86" s="56" t="s">
        <v>59</v>
      </c>
      <c r="E86" s="88"/>
      <c r="F86" s="41" t="s">
        <v>75</v>
      </c>
      <c r="G86" s="44">
        <f>G85*5%</f>
        <v>0</v>
      </c>
      <c r="H86" s="45" t="str">
        <f>VLOOKUP(B86,'Diciembre Data'!A:D,4,FALSE)</f>
        <v>#N/A</v>
      </c>
      <c r="I86" s="98"/>
      <c r="J86" s="92"/>
      <c r="K86" s="35"/>
    </row>
    <row r="87">
      <c r="A87" s="103" t="s">
        <v>26</v>
      </c>
      <c r="B87" s="40" t="s">
        <v>97</v>
      </c>
      <c r="C87" s="41" t="s">
        <v>59</v>
      </c>
      <c r="D87" s="56" t="s">
        <v>59</v>
      </c>
      <c r="E87" s="88"/>
      <c r="F87" s="41" t="s">
        <v>58</v>
      </c>
      <c r="G87" s="62">
        <f>G86</f>
        <v>0</v>
      </c>
      <c r="H87" s="45" t="str">
        <f>VLOOKUP(B87,'Diciembre Data'!A:D,4,FALSE)</f>
        <v>#N/A</v>
      </c>
      <c r="I87" s="98"/>
      <c r="J87" s="79"/>
      <c r="K87" s="35"/>
    </row>
    <row r="88">
      <c r="A88" s="26" t="s">
        <v>28</v>
      </c>
      <c r="B88" s="27" t="s">
        <v>98</v>
      </c>
      <c r="C88" s="28" t="s">
        <v>58</v>
      </c>
      <c r="D88" s="29" t="s">
        <v>69</v>
      </c>
      <c r="E88" s="30" t="s">
        <v>99</v>
      </c>
      <c r="F88" s="28" t="s">
        <v>71</v>
      </c>
      <c r="G88" s="31">
        <f>SUMIFS('Diciembre Data'!C:C,'Diciembre Data'!A:A,B88,'Diciembre Data'!B:B,F88)</f>
        <v>1023570.86</v>
      </c>
      <c r="H88" s="63" t="str">
        <f>VLOOKUP(B88,'Diciembre Data'!A:D,4,FALSE)</f>
        <v>UESP1328</v>
      </c>
      <c r="I88" s="64" t="s">
        <v>29</v>
      </c>
      <c r="J88" s="65">
        <f>J77+1</f>
        <v>300</v>
      </c>
      <c r="K88" s="35"/>
    </row>
    <row r="89">
      <c r="A89" s="39" t="s">
        <v>28</v>
      </c>
      <c r="B89" s="40" t="s">
        <v>98</v>
      </c>
      <c r="C89" s="41" t="s">
        <v>72</v>
      </c>
      <c r="D89" s="42" t="s">
        <v>69</v>
      </c>
      <c r="E89" s="43" t="s">
        <v>99</v>
      </c>
      <c r="F89" s="41" t="s">
        <v>73</v>
      </c>
      <c r="G89" s="44">
        <f>SUMIFS('Diciembre Data'!C:C,'Diciembre Data'!A:A,B89,'Diciembre Data'!B:B,F89)</f>
        <v>0</v>
      </c>
      <c r="H89" s="66" t="str">
        <f>VLOOKUP(B89,'Diciembre Data'!A:D,4,FALSE)</f>
        <v>UESP1328</v>
      </c>
      <c r="I89" s="67" t="s">
        <v>29</v>
      </c>
      <c r="J89" s="68"/>
      <c r="K89" s="35"/>
    </row>
    <row r="90">
      <c r="A90" s="39" t="s">
        <v>28</v>
      </c>
      <c r="B90" s="40" t="s">
        <v>98</v>
      </c>
      <c r="C90" s="41" t="s">
        <v>72</v>
      </c>
      <c r="D90" s="42" t="s">
        <v>69</v>
      </c>
      <c r="F90" s="104" t="s">
        <v>80</v>
      </c>
      <c r="G90" s="105">
        <f>(G88+G89)*4%</f>
        <v>40942.8344</v>
      </c>
      <c r="H90" s="66" t="str">
        <f>VLOOKUP(B90,'Diciembre Data'!A:D,4,FALSE)</f>
        <v>UESP1328</v>
      </c>
      <c r="I90" s="41"/>
      <c r="J90" s="68"/>
      <c r="K90" s="35"/>
    </row>
    <row r="91">
      <c r="A91" s="69" t="s">
        <v>28</v>
      </c>
      <c r="B91" s="70" t="s">
        <v>98</v>
      </c>
      <c r="C91" s="71" t="s">
        <v>72</v>
      </c>
      <c r="D91" s="72" t="s">
        <v>69</v>
      </c>
      <c r="E91" s="73"/>
      <c r="F91" s="74" t="s">
        <v>100</v>
      </c>
      <c r="G91" s="75">
        <f>(G88+G89)*0.4%</f>
        <v>4094.28344</v>
      </c>
      <c r="H91" s="66" t="str">
        <f>VLOOKUP(B91,'Diciembre Data'!A:D,4,FALSE)</f>
        <v>UESP1328</v>
      </c>
      <c r="I91" s="71"/>
      <c r="J91" s="76"/>
      <c r="K91" s="35"/>
    </row>
    <row r="92">
      <c r="A92" s="77" t="s">
        <v>28</v>
      </c>
      <c r="B92" s="49" t="s">
        <v>98</v>
      </c>
      <c r="C92" s="50" t="s">
        <v>72</v>
      </c>
      <c r="D92" s="50" t="s">
        <v>69</v>
      </c>
      <c r="E92" s="51" t="s">
        <v>99</v>
      </c>
      <c r="F92" s="50" t="s">
        <v>74</v>
      </c>
      <c r="G92" s="52">
        <f>G88+G89-G90-G91</f>
        <v>978533.7422</v>
      </c>
      <c r="H92" s="97" t="str">
        <f>VLOOKUP(B92,'Diciembre Data'!A:D,4,FALSE)</f>
        <v>UESP1328</v>
      </c>
      <c r="I92" s="98"/>
      <c r="J92" s="78"/>
      <c r="K92" s="35"/>
    </row>
    <row r="93">
      <c r="A93" s="91" t="s">
        <v>28</v>
      </c>
      <c r="B93" s="27" t="s">
        <v>98</v>
      </c>
      <c r="C93" s="28" t="s">
        <v>59</v>
      </c>
      <c r="D93" s="56" t="s">
        <v>59</v>
      </c>
      <c r="E93" s="88"/>
      <c r="F93" s="41" t="s">
        <v>75</v>
      </c>
      <c r="G93" s="44">
        <f>G92*5%</f>
        <v>48926.68711</v>
      </c>
      <c r="H93" s="45" t="str">
        <f>VLOOKUP(B93,'Diciembre Data'!A:D,4,FALSE)</f>
        <v>UESP1328</v>
      </c>
      <c r="I93" s="98"/>
      <c r="J93" s="92"/>
      <c r="K93" s="35"/>
    </row>
    <row r="94">
      <c r="A94" s="80" t="s">
        <v>28</v>
      </c>
      <c r="B94" s="70" t="s">
        <v>98</v>
      </c>
      <c r="C94" s="71" t="s">
        <v>59</v>
      </c>
      <c r="D94" s="81" t="s">
        <v>59</v>
      </c>
      <c r="E94" s="88"/>
      <c r="F94" s="71" t="s">
        <v>58</v>
      </c>
      <c r="G94" s="62">
        <f>G93</f>
        <v>48926.68711</v>
      </c>
      <c r="H94" s="82" t="str">
        <f>VLOOKUP(B94,'Diciembre Data'!A:D,4,FALSE)</f>
        <v>UESP1328</v>
      </c>
      <c r="I94" s="98"/>
      <c r="J94" s="83"/>
      <c r="K94" s="35"/>
    </row>
    <row r="95">
      <c r="A95" s="91" t="s">
        <v>30</v>
      </c>
      <c r="B95" s="27" t="s">
        <v>101</v>
      </c>
      <c r="C95" s="28" t="s">
        <v>58</v>
      </c>
      <c r="D95" s="29" t="s">
        <v>69</v>
      </c>
      <c r="E95" s="30" t="s">
        <v>102</v>
      </c>
      <c r="F95" s="28" t="s">
        <v>71</v>
      </c>
      <c r="G95" s="31">
        <f>SUMIFS('Diciembre Data'!C:C,'Diciembre Data'!A:A,B95,'Diciembre Data'!B:B,F95)</f>
        <v>3649095.54</v>
      </c>
      <c r="H95" s="32" t="str">
        <f>VLOOKUP(B95,'Diciembre Data'!A:D,4,FALSE)</f>
        <v>UESP1330</v>
      </c>
      <c r="I95" s="33" t="s">
        <v>31</v>
      </c>
      <c r="J95" s="85">
        <f>J88+1</f>
        <v>301</v>
      </c>
      <c r="K95" s="35"/>
    </row>
    <row r="96">
      <c r="A96" s="80" t="s">
        <v>30</v>
      </c>
      <c r="B96" s="70" t="s">
        <v>101</v>
      </c>
      <c r="C96" s="71" t="s">
        <v>72</v>
      </c>
      <c r="D96" s="72" t="s">
        <v>69</v>
      </c>
      <c r="E96" s="73" t="s">
        <v>102</v>
      </c>
      <c r="F96" s="71" t="s">
        <v>73</v>
      </c>
      <c r="G96" s="62">
        <f>SUMIFS('Diciembre Data'!C:C,'Diciembre Data'!A:A,B96,'Diciembre Data'!B:B,F96)</f>
        <v>0</v>
      </c>
      <c r="H96" s="82" t="str">
        <f>VLOOKUP(B96,'Diciembre Data'!A:D,4,FALSE)</f>
        <v>UESP1330</v>
      </c>
      <c r="I96" s="46" t="s">
        <v>31</v>
      </c>
      <c r="J96" s="83"/>
      <c r="K96" s="35"/>
    </row>
    <row r="97">
      <c r="A97" s="77" t="s">
        <v>30</v>
      </c>
      <c r="B97" s="49" t="s">
        <v>101</v>
      </c>
      <c r="C97" s="50" t="s">
        <v>72</v>
      </c>
      <c r="D97" s="50" t="s">
        <v>69</v>
      </c>
      <c r="E97" s="51" t="s">
        <v>102</v>
      </c>
      <c r="F97" s="50" t="s">
        <v>74</v>
      </c>
      <c r="G97" s="52">
        <f>G96+G95</f>
        <v>3649095.54</v>
      </c>
      <c r="H97" s="97" t="str">
        <f>VLOOKUP(B97,'Diciembre Data'!A:D,4,FALSE)</f>
        <v>UESP1330</v>
      </c>
      <c r="I97" s="98"/>
      <c r="J97" s="78"/>
      <c r="K97" s="35"/>
    </row>
    <row r="98">
      <c r="A98" s="91" t="s">
        <v>30</v>
      </c>
      <c r="B98" s="27" t="s">
        <v>101</v>
      </c>
      <c r="C98" s="28" t="s">
        <v>59</v>
      </c>
      <c r="D98" s="56" t="s">
        <v>59</v>
      </c>
      <c r="E98" s="88"/>
      <c r="F98" s="41" t="s">
        <v>75</v>
      </c>
      <c r="G98" s="44">
        <f>G97*5%</f>
        <v>182454.777</v>
      </c>
      <c r="H98" s="45" t="str">
        <f>VLOOKUP(B98,'Diciembre Data'!A:D,4,FALSE)</f>
        <v>UESP1330</v>
      </c>
      <c r="I98" s="98"/>
      <c r="J98" s="92"/>
      <c r="K98" s="35"/>
    </row>
    <row r="99">
      <c r="A99" s="80" t="s">
        <v>30</v>
      </c>
      <c r="B99" s="70" t="s">
        <v>101</v>
      </c>
      <c r="C99" s="71" t="s">
        <v>59</v>
      </c>
      <c r="D99" s="81" t="s">
        <v>59</v>
      </c>
      <c r="E99" s="88"/>
      <c r="F99" s="71" t="s">
        <v>58</v>
      </c>
      <c r="G99" s="62">
        <f>G98</f>
        <v>182454.777</v>
      </c>
      <c r="H99" s="82" t="str">
        <f>VLOOKUP(B99,'Diciembre Data'!A:D,4,FALSE)</f>
        <v>UESP1330</v>
      </c>
      <c r="I99" s="98"/>
      <c r="J99" s="83"/>
      <c r="K99" s="35"/>
    </row>
    <row r="100">
      <c r="A100" s="102" t="s">
        <v>32</v>
      </c>
      <c r="B100" s="27" t="s">
        <v>103</v>
      </c>
      <c r="C100" s="28" t="s">
        <v>58</v>
      </c>
      <c r="D100" s="29" t="s">
        <v>69</v>
      </c>
      <c r="E100" s="30" t="s">
        <v>104</v>
      </c>
      <c r="F100" s="28" t="s">
        <v>71</v>
      </c>
      <c r="G100" s="31">
        <f>SUMIFS('Diciembre Data'!C:C,'Diciembre Data'!A:A,B100,'Diciembre Data'!B:B,F100)</f>
        <v>0</v>
      </c>
      <c r="H100" s="32" t="str">
        <f>VLOOKUP(B100,'Diciembre Data'!A:D,4,FALSE)</f>
        <v>#N/A</v>
      </c>
      <c r="I100" s="33" t="s">
        <v>33</v>
      </c>
      <c r="J100" s="106">
        <f>J95+1</f>
        <v>302</v>
      </c>
      <c r="K100" s="35"/>
    </row>
    <row r="101">
      <c r="A101" s="107" t="s">
        <v>32</v>
      </c>
      <c r="B101" s="70" t="s">
        <v>103</v>
      </c>
      <c r="C101" s="71" t="s">
        <v>72</v>
      </c>
      <c r="D101" s="72" t="s">
        <v>69</v>
      </c>
      <c r="E101" s="73" t="s">
        <v>104</v>
      </c>
      <c r="F101" s="71" t="s">
        <v>73</v>
      </c>
      <c r="G101" s="62">
        <f>SUMIFS('Diciembre Data'!C:C,'Diciembre Data'!A:A,B101,'Diciembre Data'!B:B,F101)</f>
        <v>0</v>
      </c>
      <c r="H101" s="82" t="str">
        <f>VLOOKUP(B101,'Diciembre Data'!A:D,4,FALSE)</f>
        <v>#N/A</v>
      </c>
      <c r="I101" s="46" t="s">
        <v>33</v>
      </c>
      <c r="J101" s="83"/>
      <c r="K101" s="35"/>
    </row>
    <row r="102">
      <c r="A102" s="101" t="s">
        <v>32</v>
      </c>
      <c r="B102" s="49" t="s">
        <v>103</v>
      </c>
      <c r="C102" s="50" t="s">
        <v>72</v>
      </c>
      <c r="D102" s="50" t="s">
        <v>69</v>
      </c>
      <c r="E102" s="51" t="s">
        <v>104</v>
      </c>
      <c r="F102" s="50" t="s">
        <v>74</v>
      </c>
      <c r="G102" s="52">
        <f>G101+G100</f>
        <v>0</v>
      </c>
      <c r="H102" s="97" t="str">
        <f>VLOOKUP(B102,'Diciembre Data'!A:D,4,FALSE)</f>
        <v>#N/A</v>
      </c>
      <c r="I102" s="98"/>
      <c r="J102" s="78"/>
      <c r="K102" s="35"/>
    </row>
    <row r="103">
      <c r="A103" s="102" t="s">
        <v>32</v>
      </c>
      <c r="B103" s="27" t="s">
        <v>103</v>
      </c>
      <c r="C103" s="28" t="s">
        <v>59</v>
      </c>
      <c r="D103" s="56" t="s">
        <v>59</v>
      </c>
      <c r="E103" s="88"/>
      <c r="F103" s="41" t="s">
        <v>75</v>
      </c>
      <c r="G103" s="44">
        <f>G102*5%</f>
        <v>0</v>
      </c>
      <c r="H103" s="45" t="str">
        <f>VLOOKUP(B103,'Diciembre Data'!A:D,4,FALSE)</f>
        <v>#N/A</v>
      </c>
      <c r="I103" s="98"/>
      <c r="J103" s="92"/>
      <c r="K103" s="35"/>
    </row>
    <row r="104">
      <c r="A104" s="103" t="s">
        <v>32</v>
      </c>
      <c r="B104" s="40" t="s">
        <v>103</v>
      </c>
      <c r="C104" s="41" t="s">
        <v>59</v>
      </c>
      <c r="D104" s="56" t="s">
        <v>59</v>
      </c>
      <c r="E104" s="88"/>
      <c r="F104" s="41" t="s">
        <v>58</v>
      </c>
      <c r="G104" s="62">
        <f>G103</f>
        <v>0</v>
      </c>
      <c r="H104" s="45" t="str">
        <f>VLOOKUP(B104,'Diciembre Data'!A:D,4,FALSE)</f>
        <v>#N/A</v>
      </c>
      <c r="I104" s="98"/>
      <c r="J104" s="79"/>
      <c r="K104" s="35"/>
    </row>
    <row r="105">
      <c r="A105" s="26" t="s">
        <v>34</v>
      </c>
      <c r="B105" s="27" t="s">
        <v>105</v>
      </c>
      <c r="C105" s="28" t="s">
        <v>58</v>
      </c>
      <c r="D105" s="29" t="s">
        <v>69</v>
      </c>
      <c r="E105" s="30" t="s">
        <v>99</v>
      </c>
      <c r="F105" s="28" t="s">
        <v>71</v>
      </c>
      <c r="G105" s="95">
        <f>SUMIFS('Diciembre Data'!C:C,'Diciembre Data'!A:A,B105,'Diciembre Data'!B:B,F105)</f>
        <v>9301995.25</v>
      </c>
      <c r="H105" s="63" t="str">
        <f>VLOOKUP(B105,'Diciembre Data'!A:D,4,FALSE)</f>
        <v>UESP1320</v>
      </c>
      <c r="I105" s="64" t="s">
        <v>35</v>
      </c>
      <c r="J105" s="65">
        <f>J95+1</f>
        <v>302</v>
      </c>
      <c r="K105" s="35"/>
    </row>
    <row r="106">
      <c r="A106" s="39" t="s">
        <v>34</v>
      </c>
      <c r="B106" s="40" t="s">
        <v>105</v>
      </c>
      <c r="C106" s="41" t="s">
        <v>72</v>
      </c>
      <c r="D106" s="42" t="s">
        <v>69</v>
      </c>
      <c r="E106" s="43" t="s">
        <v>99</v>
      </c>
      <c r="F106" s="41" t="s">
        <v>73</v>
      </c>
      <c r="G106" s="44">
        <f>SUMIFS('Diciembre Data'!C:C,'Diciembre Data'!A:A,B106,'Diciembre Data'!B:B,F106)</f>
        <v>0</v>
      </c>
      <c r="H106" s="66" t="str">
        <f>VLOOKUP(B106,'Diciembre Data'!A:D,4,FALSE)</f>
        <v>UESP1320</v>
      </c>
      <c r="I106" s="67" t="s">
        <v>35</v>
      </c>
      <c r="J106" s="68"/>
      <c r="K106" s="35"/>
    </row>
    <row r="107">
      <c r="A107" s="39" t="s">
        <v>34</v>
      </c>
      <c r="B107" s="40" t="s">
        <v>105</v>
      </c>
      <c r="C107" s="41" t="s">
        <v>72</v>
      </c>
      <c r="D107" s="42" t="s">
        <v>69</v>
      </c>
      <c r="F107" s="104" t="s">
        <v>80</v>
      </c>
      <c r="G107" s="105">
        <f>(G105+G106)*4%</f>
        <v>372079.81</v>
      </c>
      <c r="H107" s="66" t="str">
        <f>VLOOKUP(B107,'Diciembre Data'!A:D,4,FALSE)</f>
        <v>UESP1320</v>
      </c>
      <c r="I107" s="41"/>
      <c r="J107" s="68"/>
      <c r="K107" s="35"/>
    </row>
    <row r="108">
      <c r="A108" s="69" t="s">
        <v>34</v>
      </c>
      <c r="B108" s="70" t="s">
        <v>105</v>
      </c>
      <c r="C108" s="71" t="s">
        <v>72</v>
      </c>
      <c r="D108" s="72" t="s">
        <v>69</v>
      </c>
      <c r="E108" s="73"/>
      <c r="F108" s="74" t="s">
        <v>100</v>
      </c>
      <c r="G108" s="75">
        <f>(G105+G106)*0.8%</f>
        <v>74415.962</v>
      </c>
      <c r="H108" s="66" t="str">
        <f>VLOOKUP(B108,'Diciembre Data'!A:D,4,FALSE)</f>
        <v>UESP1320</v>
      </c>
      <c r="I108" s="71"/>
      <c r="J108" s="76"/>
      <c r="K108" s="35"/>
    </row>
    <row r="109">
      <c r="A109" s="77" t="s">
        <v>34</v>
      </c>
      <c r="B109" s="49" t="s">
        <v>105</v>
      </c>
      <c r="C109" s="50" t="s">
        <v>72</v>
      </c>
      <c r="D109" s="50" t="s">
        <v>69</v>
      </c>
      <c r="E109" s="51" t="s">
        <v>99</v>
      </c>
      <c r="F109" s="50" t="s">
        <v>74</v>
      </c>
      <c r="G109" s="52">
        <f>G105+G106-G107-G108</f>
        <v>8855499.478</v>
      </c>
      <c r="H109" s="97" t="str">
        <f>VLOOKUP(B109,'Diciembre Data'!A:D,4,FALSE)</f>
        <v>UESP1320</v>
      </c>
      <c r="I109" s="98"/>
      <c r="J109" s="78"/>
      <c r="K109" s="35"/>
    </row>
    <row r="110">
      <c r="A110" s="91" t="s">
        <v>34</v>
      </c>
      <c r="B110" s="27" t="s">
        <v>105</v>
      </c>
      <c r="C110" s="28" t="s">
        <v>59</v>
      </c>
      <c r="D110" s="56" t="s">
        <v>59</v>
      </c>
      <c r="E110" s="88"/>
      <c r="F110" s="41" t="s">
        <v>75</v>
      </c>
      <c r="G110" s="44">
        <f>G109*5%</f>
        <v>442774.9739</v>
      </c>
      <c r="H110" s="45" t="str">
        <f>VLOOKUP(B110,'Diciembre Data'!A:D,4,FALSE)</f>
        <v>UESP1320</v>
      </c>
      <c r="I110" s="98"/>
      <c r="J110" s="92"/>
      <c r="K110" s="35"/>
    </row>
    <row r="111">
      <c r="A111" s="80" t="s">
        <v>34</v>
      </c>
      <c r="B111" s="70" t="s">
        <v>105</v>
      </c>
      <c r="C111" s="71" t="s">
        <v>59</v>
      </c>
      <c r="D111" s="81" t="s">
        <v>59</v>
      </c>
      <c r="E111" s="88"/>
      <c r="F111" s="71" t="s">
        <v>58</v>
      </c>
      <c r="G111" s="62">
        <f>G110</f>
        <v>442774.9739</v>
      </c>
      <c r="H111" s="82" t="str">
        <f>VLOOKUP(B111,'Diciembre Data'!A:D,4,FALSE)</f>
        <v>UESP1320</v>
      </c>
      <c r="I111" s="98"/>
      <c r="J111" s="83"/>
      <c r="K111" s="35"/>
    </row>
    <row r="112">
      <c r="A112" s="91" t="s">
        <v>44</v>
      </c>
      <c r="B112" s="27" t="s">
        <v>106</v>
      </c>
      <c r="C112" s="28" t="s">
        <v>58</v>
      </c>
      <c r="D112" s="29" t="s">
        <v>69</v>
      </c>
      <c r="E112" s="30" t="s">
        <v>107</v>
      </c>
      <c r="F112" s="28" t="s">
        <v>71</v>
      </c>
      <c r="G112" s="31">
        <f>SUMIFS('Diciembre Data'!C:C,'Diciembre Data'!A:A,B112,'Diciembre Data'!B:B,F112)</f>
        <v>4433686.58</v>
      </c>
      <c r="H112" s="32" t="str">
        <f>VLOOKUP(B112,'Diciembre Data'!A:D,4,FALSE)</f>
        <v>UESP1332</v>
      </c>
      <c r="I112" s="33" t="s">
        <v>45</v>
      </c>
      <c r="J112" s="85">
        <f>J105+1</f>
        <v>303</v>
      </c>
      <c r="K112" s="35"/>
    </row>
    <row r="113">
      <c r="A113" s="80" t="s">
        <v>44</v>
      </c>
      <c r="B113" s="70" t="s">
        <v>106</v>
      </c>
      <c r="C113" s="71" t="s">
        <v>72</v>
      </c>
      <c r="D113" s="72" t="s">
        <v>69</v>
      </c>
      <c r="E113" s="73" t="s">
        <v>107</v>
      </c>
      <c r="F113" s="71" t="s">
        <v>73</v>
      </c>
      <c r="G113" s="62">
        <f>SUMIFS('Diciembre Data'!C:C,'Diciembre Data'!A:A,B113,'Diciembre Data'!B:B,F113)</f>
        <v>72776.33</v>
      </c>
      <c r="H113" s="82" t="str">
        <f>VLOOKUP(B113,'Diciembre Data'!A:D,4,FALSE)</f>
        <v>UESP1332</v>
      </c>
      <c r="I113" s="46" t="s">
        <v>45</v>
      </c>
      <c r="J113" s="83"/>
      <c r="K113" s="35"/>
    </row>
    <row r="114">
      <c r="A114" s="77" t="s">
        <v>44</v>
      </c>
      <c r="B114" s="49" t="s">
        <v>106</v>
      </c>
      <c r="C114" s="50" t="s">
        <v>72</v>
      </c>
      <c r="D114" s="50" t="s">
        <v>69</v>
      </c>
      <c r="E114" s="51" t="s">
        <v>107</v>
      </c>
      <c r="F114" s="50" t="s">
        <v>74</v>
      </c>
      <c r="G114" s="52">
        <f>G113+G112</f>
        <v>4506462.91</v>
      </c>
      <c r="H114" s="97" t="str">
        <f>VLOOKUP(B114,'Diciembre Data'!A:D,4,FALSE)</f>
        <v>UESP1332</v>
      </c>
      <c r="I114" s="98"/>
      <c r="J114" s="78"/>
      <c r="K114" s="35"/>
    </row>
    <row r="115">
      <c r="A115" s="91" t="s">
        <v>44</v>
      </c>
      <c r="B115" s="27" t="s">
        <v>106</v>
      </c>
      <c r="C115" s="28" t="s">
        <v>59</v>
      </c>
      <c r="D115" s="56" t="s">
        <v>59</v>
      </c>
      <c r="E115" s="88"/>
      <c r="F115" s="41" t="s">
        <v>75</v>
      </c>
      <c r="G115" s="44">
        <f>G114*5%</f>
        <v>225323.1455</v>
      </c>
      <c r="H115" s="45" t="str">
        <f>VLOOKUP(B115,'Diciembre Data'!A:D,4,FALSE)</f>
        <v>UESP1332</v>
      </c>
      <c r="I115" s="98"/>
      <c r="J115" s="92"/>
      <c r="K115" s="35"/>
    </row>
    <row r="116">
      <c r="A116" s="37" t="s">
        <v>44</v>
      </c>
      <c r="B116" s="40" t="s">
        <v>106</v>
      </c>
      <c r="C116" s="41" t="s">
        <v>59</v>
      </c>
      <c r="D116" s="56" t="s">
        <v>59</v>
      </c>
      <c r="E116" s="88"/>
      <c r="F116" s="41" t="s">
        <v>58</v>
      </c>
      <c r="G116" s="62">
        <f>G115</f>
        <v>225323.1455</v>
      </c>
      <c r="H116" s="45" t="str">
        <f>VLOOKUP(B116,'Diciembre Data'!A:D,4,FALSE)</f>
        <v>UESP1332</v>
      </c>
      <c r="I116" s="98"/>
      <c r="J116" s="79"/>
      <c r="K116" s="35"/>
    </row>
    <row r="117" ht="14.25" customHeight="1">
      <c r="A117" s="26" t="s">
        <v>36</v>
      </c>
      <c r="B117" s="27" t="s">
        <v>108</v>
      </c>
      <c r="C117" s="28" t="s">
        <v>58</v>
      </c>
      <c r="D117" s="29" t="s">
        <v>69</v>
      </c>
      <c r="E117" s="30" t="s">
        <v>82</v>
      </c>
      <c r="F117" s="28" t="s">
        <v>71</v>
      </c>
      <c r="G117" s="108">
        <f>SUMIFS('Diciembre Data'!C:C,'Diciembre Data'!A:A,B117,'Diciembre Data'!B:B,F117)</f>
        <v>2721813.65</v>
      </c>
      <c r="H117" s="63" t="str">
        <f>VLOOKUP(B117,'Diciembre Data'!A:D,4,FALSE)</f>
        <v>UESP1321</v>
      </c>
      <c r="I117" s="64" t="s">
        <v>37</v>
      </c>
      <c r="J117" s="65">
        <f>J112+1</f>
        <v>304</v>
      </c>
      <c r="K117" s="35"/>
    </row>
    <row r="118" ht="14.25" customHeight="1">
      <c r="A118" s="39" t="s">
        <v>36</v>
      </c>
      <c r="B118" s="40" t="s">
        <v>108</v>
      </c>
      <c r="C118" s="41" t="s">
        <v>72</v>
      </c>
      <c r="D118" s="42" t="s">
        <v>69</v>
      </c>
      <c r="E118" s="43" t="s">
        <v>82</v>
      </c>
      <c r="F118" s="41" t="s">
        <v>73</v>
      </c>
      <c r="G118" s="44">
        <f>SUMIFS('Diciembre Data'!C:C,'Diciembre Data'!A:A,B118,'Diciembre Data'!B:B,F118)</f>
        <v>16447.24</v>
      </c>
      <c r="H118" s="66" t="str">
        <f>VLOOKUP(B118,'Diciembre Data'!A:D,4,FALSE)</f>
        <v>UESP1321</v>
      </c>
      <c r="I118" s="67" t="s">
        <v>37</v>
      </c>
      <c r="J118" s="68"/>
      <c r="K118" s="35"/>
    </row>
    <row r="119" ht="14.25" customHeight="1">
      <c r="A119" s="69" t="s">
        <v>36</v>
      </c>
      <c r="B119" s="70" t="s">
        <v>108</v>
      </c>
      <c r="C119" s="71" t="s">
        <v>72</v>
      </c>
      <c r="D119" s="72" t="s">
        <v>69</v>
      </c>
      <c r="E119" s="73"/>
      <c r="F119" s="74" t="s">
        <v>80</v>
      </c>
      <c r="G119" s="75">
        <f>(G117+G118)*4%</f>
        <v>109530.4356</v>
      </c>
      <c r="H119" s="66" t="str">
        <f>VLOOKUP(B119,'Diciembre Data'!A:D,4,FALSE)</f>
        <v>UESP1321</v>
      </c>
      <c r="I119" s="71"/>
      <c r="J119" s="76"/>
      <c r="K119" s="35"/>
    </row>
    <row r="120" ht="14.25" customHeight="1">
      <c r="A120" s="109" t="s">
        <v>36</v>
      </c>
      <c r="B120" s="110" t="s">
        <v>108</v>
      </c>
      <c r="C120" s="111" t="s">
        <v>72</v>
      </c>
      <c r="D120" s="111" t="s">
        <v>69</v>
      </c>
      <c r="E120" s="112" t="s">
        <v>82</v>
      </c>
      <c r="F120" s="50" t="s">
        <v>74</v>
      </c>
      <c r="G120" s="52">
        <f>G117+G118-G119</f>
        <v>2628730.454</v>
      </c>
      <c r="H120" s="113" t="str">
        <f>VLOOKUP(B120,'Diciembre Data'!A:D,4,FALSE)</f>
        <v>UESP1321</v>
      </c>
      <c r="I120" s="114"/>
      <c r="J120" s="115"/>
      <c r="K120" s="35"/>
    </row>
    <row r="121" ht="14.25" customHeight="1">
      <c r="A121" s="91" t="s">
        <v>36</v>
      </c>
      <c r="B121" s="27" t="s">
        <v>108</v>
      </c>
      <c r="C121" s="28" t="s">
        <v>59</v>
      </c>
      <c r="D121" s="56" t="s">
        <v>59</v>
      </c>
      <c r="E121" s="88"/>
      <c r="F121" s="41" t="s">
        <v>75</v>
      </c>
      <c r="G121" s="44">
        <f>G120*5%</f>
        <v>131436.5227</v>
      </c>
      <c r="H121" s="45" t="str">
        <f>VLOOKUP(B121,'Diciembre Data'!A:D,4,FALSE)</f>
        <v>UESP1321</v>
      </c>
      <c r="I121" s="51"/>
      <c r="J121" s="92"/>
      <c r="K121" s="35"/>
    </row>
    <row r="122" ht="14.25" customHeight="1">
      <c r="A122" s="80" t="s">
        <v>36</v>
      </c>
      <c r="B122" s="70" t="s">
        <v>108</v>
      </c>
      <c r="C122" s="71" t="s">
        <v>59</v>
      </c>
      <c r="D122" s="81" t="s">
        <v>59</v>
      </c>
      <c r="E122" s="88"/>
      <c r="F122" s="71" t="s">
        <v>58</v>
      </c>
      <c r="G122" s="62">
        <f>G121</f>
        <v>131436.5227</v>
      </c>
      <c r="H122" s="82" t="str">
        <f>VLOOKUP(B122,'Diciembre Data'!A:D,4,FALSE)</f>
        <v>UESP1321</v>
      </c>
      <c r="I122" s="51"/>
      <c r="J122" s="83"/>
      <c r="K122" s="35"/>
    </row>
    <row r="123">
      <c r="B123" s="116"/>
      <c r="G123" s="117"/>
      <c r="H123" s="118"/>
      <c r="J123" s="119"/>
      <c r="K123" s="35"/>
    </row>
    <row r="124">
      <c r="B124" s="116"/>
      <c r="G124" s="117"/>
      <c r="H124" s="118"/>
      <c r="J124" s="119"/>
      <c r="K124" s="35"/>
    </row>
    <row r="125">
      <c r="B125" s="116"/>
      <c r="G125" s="117"/>
      <c r="H125" s="118"/>
      <c r="J125" s="119"/>
      <c r="K125" s="35"/>
    </row>
    <row r="126">
      <c r="B126" s="116"/>
      <c r="G126" s="117"/>
      <c r="H126" s="118"/>
      <c r="J126" s="119"/>
      <c r="K126" s="35"/>
    </row>
    <row r="127">
      <c r="B127" s="116"/>
      <c r="G127" s="117"/>
      <c r="H127" s="118"/>
      <c r="J127" s="119"/>
      <c r="K127" s="35"/>
    </row>
    <row r="128">
      <c r="B128" s="116"/>
      <c r="G128" s="117"/>
      <c r="H128" s="118"/>
      <c r="J128" s="119"/>
      <c r="K128" s="35"/>
    </row>
    <row r="129">
      <c r="B129" s="116"/>
      <c r="G129" s="117"/>
      <c r="H129" s="118"/>
      <c r="J129" s="119"/>
      <c r="K129" s="35"/>
    </row>
    <row r="130">
      <c r="B130" s="116"/>
      <c r="G130" s="117"/>
      <c r="H130" s="118"/>
      <c r="J130" s="119"/>
      <c r="K130" s="35"/>
    </row>
    <row r="131">
      <c r="B131" s="116"/>
      <c r="G131" s="117"/>
      <c r="H131" s="118"/>
      <c r="J131" s="119"/>
      <c r="K131" s="35"/>
    </row>
    <row r="132">
      <c r="B132" s="116"/>
      <c r="G132" s="117"/>
      <c r="H132" s="118"/>
      <c r="J132" s="119"/>
      <c r="K132" s="35"/>
    </row>
    <row r="133">
      <c r="B133" s="116"/>
      <c r="G133" s="117"/>
      <c r="H133" s="118"/>
      <c r="J133" s="119"/>
      <c r="K133" s="35"/>
    </row>
    <row r="134">
      <c r="B134" s="116"/>
      <c r="G134" s="117"/>
      <c r="H134" s="118"/>
      <c r="J134" s="119"/>
      <c r="K134" s="35"/>
    </row>
    <row r="135">
      <c r="B135" s="116"/>
      <c r="G135" s="117"/>
      <c r="H135" s="118"/>
      <c r="J135" s="119"/>
      <c r="K135" s="35"/>
    </row>
    <row r="136">
      <c r="B136" s="116"/>
      <c r="G136" s="117"/>
      <c r="H136" s="118"/>
      <c r="J136" s="119"/>
      <c r="K136" s="35"/>
    </row>
    <row r="137">
      <c r="B137" s="116"/>
      <c r="G137" s="117"/>
      <c r="H137" s="118"/>
      <c r="J137" s="119"/>
      <c r="K137" s="35"/>
    </row>
    <row r="138">
      <c r="B138" s="116"/>
      <c r="G138" s="117"/>
      <c r="H138" s="118"/>
      <c r="J138" s="119"/>
      <c r="K138" s="35"/>
    </row>
    <row r="139">
      <c r="B139" s="116"/>
      <c r="G139" s="117"/>
      <c r="H139" s="118"/>
      <c r="J139" s="119"/>
      <c r="K139" s="35"/>
    </row>
    <row r="140">
      <c r="B140" s="116"/>
      <c r="G140" s="117"/>
      <c r="H140" s="118"/>
      <c r="J140" s="119"/>
      <c r="K140" s="35"/>
    </row>
    <row r="141">
      <c r="B141" s="116"/>
      <c r="G141" s="117"/>
      <c r="H141" s="118"/>
      <c r="J141" s="119"/>
      <c r="K141" s="35"/>
    </row>
    <row r="142">
      <c r="B142" s="116"/>
      <c r="G142" s="117"/>
      <c r="H142" s="118"/>
      <c r="J142" s="119"/>
      <c r="K142" s="35"/>
    </row>
    <row r="143">
      <c r="B143" s="116"/>
      <c r="G143" s="117"/>
      <c r="H143" s="118"/>
      <c r="J143" s="119"/>
      <c r="K143" s="35"/>
    </row>
    <row r="144">
      <c r="B144" s="116"/>
      <c r="G144" s="117"/>
      <c r="H144" s="118"/>
      <c r="J144" s="119"/>
      <c r="K144" s="35"/>
    </row>
    <row r="145">
      <c r="B145" s="116"/>
      <c r="G145" s="117"/>
      <c r="H145" s="118"/>
      <c r="J145" s="119"/>
      <c r="K145" s="35"/>
    </row>
    <row r="146">
      <c r="B146" s="116"/>
      <c r="G146" s="117"/>
      <c r="H146" s="118"/>
      <c r="J146" s="119"/>
      <c r="K146" s="35"/>
    </row>
    <row r="147">
      <c r="B147" s="116"/>
      <c r="G147" s="117"/>
      <c r="H147" s="118"/>
      <c r="J147" s="119"/>
      <c r="K147" s="35"/>
    </row>
    <row r="148">
      <c r="B148" s="116"/>
      <c r="G148" s="117"/>
      <c r="H148" s="118"/>
      <c r="J148" s="119"/>
      <c r="K148" s="35"/>
    </row>
    <row r="149">
      <c r="B149" s="116"/>
      <c r="G149" s="117"/>
      <c r="H149" s="118"/>
      <c r="J149" s="119"/>
      <c r="K149" s="35"/>
    </row>
    <row r="150">
      <c r="B150" s="116"/>
      <c r="G150" s="117"/>
      <c r="H150" s="118"/>
      <c r="J150" s="119"/>
      <c r="K150" s="35"/>
    </row>
    <row r="151">
      <c r="B151" s="116"/>
      <c r="G151" s="117"/>
      <c r="H151" s="118"/>
      <c r="J151" s="119"/>
      <c r="K151" s="35"/>
    </row>
    <row r="152">
      <c r="B152" s="116"/>
      <c r="G152" s="117"/>
      <c r="H152" s="118"/>
      <c r="J152" s="119"/>
      <c r="K152" s="35"/>
    </row>
    <row r="153">
      <c r="B153" s="116"/>
      <c r="G153" s="117"/>
      <c r="H153" s="118"/>
      <c r="J153" s="119"/>
      <c r="K153" s="35"/>
    </row>
    <row r="154">
      <c r="B154" s="116"/>
      <c r="G154" s="117"/>
      <c r="H154" s="118"/>
      <c r="J154" s="119"/>
      <c r="K154" s="35"/>
    </row>
    <row r="155">
      <c r="B155" s="116"/>
      <c r="G155" s="117"/>
      <c r="H155" s="118"/>
      <c r="J155" s="119"/>
      <c r="K155" s="35"/>
    </row>
    <row r="156">
      <c r="B156" s="116"/>
      <c r="G156" s="117"/>
      <c r="H156" s="118"/>
      <c r="J156" s="119"/>
      <c r="K156" s="35"/>
    </row>
    <row r="157">
      <c r="B157" s="116"/>
      <c r="G157" s="117"/>
      <c r="H157" s="118"/>
      <c r="J157" s="119"/>
      <c r="K157" s="35"/>
    </row>
    <row r="158">
      <c r="B158" s="116"/>
      <c r="G158" s="117"/>
      <c r="H158" s="118"/>
      <c r="J158" s="119"/>
      <c r="K158" s="35"/>
    </row>
    <row r="159">
      <c r="B159" s="116"/>
      <c r="G159" s="117"/>
      <c r="H159" s="118"/>
      <c r="J159" s="119"/>
      <c r="K159" s="35"/>
    </row>
    <row r="160">
      <c r="B160" s="116"/>
      <c r="G160" s="117"/>
      <c r="H160" s="118"/>
      <c r="J160" s="119"/>
      <c r="K160" s="35"/>
    </row>
    <row r="161">
      <c r="B161" s="116"/>
      <c r="G161" s="117"/>
      <c r="H161" s="118"/>
      <c r="J161" s="119"/>
      <c r="K161" s="35"/>
    </row>
    <row r="162">
      <c r="B162" s="116"/>
      <c r="G162" s="117"/>
      <c r="H162" s="118"/>
      <c r="J162" s="119"/>
      <c r="K162" s="35"/>
    </row>
    <row r="163">
      <c r="B163" s="116"/>
      <c r="G163" s="117"/>
      <c r="H163" s="118"/>
      <c r="J163" s="119"/>
      <c r="K163" s="35"/>
    </row>
    <row r="164">
      <c r="B164" s="116"/>
      <c r="G164" s="117"/>
      <c r="H164" s="118"/>
      <c r="J164" s="119"/>
      <c r="K164" s="35"/>
    </row>
    <row r="165">
      <c r="B165" s="116"/>
      <c r="G165" s="117"/>
      <c r="H165" s="118"/>
      <c r="J165" s="119"/>
      <c r="K165" s="35"/>
    </row>
    <row r="166">
      <c r="B166" s="116"/>
      <c r="G166" s="117"/>
      <c r="H166" s="118"/>
      <c r="J166" s="119"/>
      <c r="K166" s="35"/>
    </row>
    <row r="167">
      <c r="B167" s="116"/>
      <c r="G167" s="117"/>
      <c r="H167" s="118"/>
      <c r="J167" s="119"/>
      <c r="K167" s="35"/>
    </row>
    <row r="168">
      <c r="B168" s="116"/>
      <c r="G168" s="117"/>
      <c r="H168" s="118"/>
      <c r="J168" s="119"/>
      <c r="K168" s="35"/>
    </row>
    <row r="169">
      <c r="B169" s="116"/>
      <c r="G169" s="117"/>
      <c r="H169" s="118"/>
      <c r="J169" s="119"/>
      <c r="K169" s="35"/>
    </row>
    <row r="170">
      <c r="B170" s="116"/>
      <c r="G170" s="117"/>
      <c r="H170" s="118"/>
      <c r="J170" s="119"/>
      <c r="K170" s="35"/>
    </row>
    <row r="171">
      <c r="B171" s="116"/>
      <c r="G171" s="117"/>
      <c r="H171" s="118"/>
      <c r="J171" s="119"/>
      <c r="K171" s="35"/>
    </row>
    <row r="172">
      <c r="B172" s="116"/>
      <c r="G172" s="117"/>
      <c r="H172" s="118"/>
      <c r="J172" s="119"/>
      <c r="K172" s="35"/>
    </row>
    <row r="173">
      <c r="B173" s="116"/>
      <c r="G173" s="117"/>
      <c r="H173" s="118"/>
      <c r="J173" s="119"/>
      <c r="K173" s="35"/>
    </row>
    <row r="174">
      <c r="B174" s="116"/>
      <c r="G174" s="117"/>
      <c r="H174" s="118"/>
      <c r="J174" s="119"/>
      <c r="K174" s="35"/>
    </row>
    <row r="175">
      <c r="B175" s="116"/>
      <c r="G175" s="117"/>
      <c r="H175" s="118"/>
      <c r="J175" s="119"/>
      <c r="K175" s="35"/>
    </row>
    <row r="176">
      <c r="B176" s="116"/>
      <c r="G176" s="117"/>
      <c r="H176" s="118"/>
      <c r="J176" s="119"/>
      <c r="K176" s="35"/>
    </row>
    <row r="177">
      <c r="B177" s="116"/>
      <c r="G177" s="117"/>
      <c r="H177" s="118"/>
      <c r="J177" s="119"/>
      <c r="K177" s="35"/>
    </row>
    <row r="178">
      <c r="B178" s="116"/>
      <c r="G178" s="117"/>
      <c r="H178" s="118"/>
      <c r="J178" s="119"/>
      <c r="K178" s="35"/>
    </row>
    <row r="179">
      <c r="B179" s="116"/>
      <c r="G179" s="117"/>
      <c r="H179" s="118"/>
      <c r="J179" s="119"/>
      <c r="K179" s="35"/>
    </row>
    <row r="180">
      <c r="B180" s="116"/>
      <c r="G180" s="117"/>
      <c r="H180" s="118"/>
      <c r="J180" s="119"/>
      <c r="K180" s="35"/>
    </row>
    <row r="181">
      <c r="B181" s="116"/>
      <c r="G181" s="117"/>
      <c r="H181" s="118"/>
      <c r="J181" s="119"/>
      <c r="K181" s="35"/>
    </row>
    <row r="182">
      <c r="B182" s="116"/>
      <c r="G182" s="117"/>
      <c r="H182" s="118"/>
      <c r="J182" s="119"/>
      <c r="K182" s="35"/>
    </row>
    <row r="183">
      <c r="B183" s="116"/>
      <c r="G183" s="117"/>
      <c r="H183" s="118"/>
      <c r="J183" s="119"/>
      <c r="K183" s="35"/>
    </row>
    <row r="184">
      <c r="B184" s="116"/>
      <c r="G184" s="117"/>
      <c r="H184" s="118"/>
      <c r="J184" s="119"/>
      <c r="K184" s="35"/>
    </row>
    <row r="185">
      <c r="B185" s="116"/>
      <c r="G185" s="117"/>
      <c r="H185" s="118"/>
      <c r="J185" s="119"/>
      <c r="K185" s="35"/>
    </row>
    <row r="186">
      <c r="B186" s="116"/>
      <c r="G186" s="117"/>
      <c r="H186" s="118"/>
      <c r="J186" s="119"/>
      <c r="K186" s="35"/>
    </row>
    <row r="187">
      <c r="B187" s="116"/>
      <c r="G187" s="117"/>
      <c r="H187" s="118"/>
      <c r="J187" s="119"/>
      <c r="K187" s="35"/>
    </row>
    <row r="188">
      <c r="B188" s="116"/>
      <c r="G188" s="117"/>
      <c r="H188" s="118"/>
      <c r="J188" s="119"/>
      <c r="K188" s="35"/>
    </row>
    <row r="189">
      <c r="B189" s="116"/>
      <c r="G189" s="117"/>
      <c r="H189" s="118"/>
      <c r="J189" s="119"/>
      <c r="K189" s="35"/>
    </row>
    <row r="190">
      <c r="B190" s="116"/>
      <c r="G190" s="117"/>
      <c r="H190" s="118"/>
      <c r="J190" s="119"/>
      <c r="K190" s="35"/>
    </row>
    <row r="191">
      <c r="B191" s="116"/>
      <c r="G191" s="117"/>
      <c r="H191" s="118"/>
      <c r="J191" s="119"/>
      <c r="K191" s="35"/>
    </row>
    <row r="192">
      <c r="B192" s="116"/>
      <c r="G192" s="117"/>
      <c r="H192" s="118"/>
      <c r="J192" s="119"/>
      <c r="K192" s="35"/>
    </row>
    <row r="193">
      <c r="B193" s="116"/>
      <c r="G193" s="117"/>
      <c r="H193" s="118"/>
      <c r="J193" s="119"/>
      <c r="K193" s="35"/>
    </row>
    <row r="194">
      <c r="B194" s="116"/>
      <c r="G194" s="117"/>
      <c r="H194" s="118"/>
      <c r="J194" s="119"/>
      <c r="K194" s="35"/>
    </row>
    <row r="195">
      <c r="B195" s="116"/>
      <c r="G195" s="117"/>
      <c r="H195" s="118"/>
      <c r="J195" s="119"/>
      <c r="K195" s="35"/>
    </row>
    <row r="196">
      <c r="B196" s="116"/>
      <c r="G196" s="117"/>
      <c r="H196" s="118"/>
      <c r="J196" s="119"/>
      <c r="K196" s="35"/>
    </row>
    <row r="197">
      <c r="B197" s="116"/>
      <c r="G197" s="117"/>
      <c r="H197" s="118"/>
      <c r="J197" s="119"/>
      <c r="K197" s="35"/>
    </row>
    <row r="198">
      <c r="B198" s="116"/>
      <c r="G198" s="117"/>
      <c r="H198" s="118"/>
      <c r="J198" s="119"/>
      <c r="K198" s="35"/>
    </row>
    <row r="199">
      <c r="B199" s="116"/>
      <c r="G199" s="117"/>
      <c r="H199" s="118"/>
      <c r="J199" s="119"/>
      <c r="K199" s="35"/>
    </row>
    <row r="200">
      <c r="B200" s="116"/>
      <c r="G200" s="117"/>
      <c r="H200" s="118"/>
      <c r="J200" s="119"/>
      <c r="K200" s="35"/>
    </row>
    <row r="201">
      <c r="B201" s="116"/>
      <c r="G201" s="117"/>
      <c r="H201" s="118"/>
      <c r="J201" s="119"/>
      <c r="K201" s="35"/>
    </row>
    <row r="202">
      <c r="B202" s="116"/>
      <c r="G202" s="117"/>
      <c r="H202" s="118"/>
      <c r="J202" s="119"/>
      <c r="K202" s="35"/>
    </row>
    <row r="203">
      <c r="B203" s="116"/>
      <c r="G203" s="117"/>
      <c r="H203" s="118"/>
      <c r="J203" s="119"/>
      <c r="K203" s="35"/>
    </row>
    <row r="204">
      <c r="B204" s="116"/>
      <c r="G204" s="117"/>
      <c r="H204" s="118"/>
      <c r="J204" s="119"/>
      <c r="K204" s="35"/>
    </row>
    <row r="205">
      <c r="B205" s="116"/>
      <c r="G205" s="117"/>
      <c r="H205" s="118"/>
      <c r="J205" s="119"/>
      <c r="K205" s="35"/>
    </row>
    <row r="206">
      <c r="B206" s="116"/>
      <c r="G206" s="117"/>
      <c r="H206" s="118"/>
      <c r="J206" s="119"/>
      <c r="K206" s="35"/>
    </row>
    <row r="207">
      <c r="B207" s="116"/>
      <c r="G207" s="117"/>
      <c r="H207" s="118"/>
      <c r="J207" s="119"/>
      <c r="K207" s="35"/>
    </row>
    <row r="208">
      <c r="B208" s="116"/>
      <c r="G208" s="117"/>
      <c r="H208" s="118"/>
      <c r="J208" s="119"/>
      <c r="K208" s="35"/>
    </row>
    <row r="209">
      <c r="B209" s="116"/>
      <c r="G209" s="117"/>
      <c r="H209" s="118"/>
      <c r="J209" s="119"/>
      <c r="K209" s="35"/>
    </row>
    <row r="210">
      <c r="B210" s="116"/>
      <c r="G210" s="117"/>
      <c r="H210" s="118"/>
      <c r="J210" s="119"/>
      <c r="K210" s="35"/>
    </row>
    <row r="211">
      <c r="B211" s="116"/>
      <c r="G211" s="117"/>
      <c r="H211" s="118"/>
      <c r="J211" s="119"/>
      <c r="K211" s="35"/>
    </row>
    <row r="212">
      <c r="B212" s="116"/>
      <c r="G212" s="117"/>
      <c r="H212" s="118"/>
      <c r="J212" s="119"/>
      <c r="K212" s="35"/>
    </row>
    <row r="213">
      <c r="B213" s="116"/>
      <c r="G213" s="117"/>
      <c r="H213" s="118"/>
      <c r="J213" s="119"/>
      <c r="K213" s="35"/>
    </row>
    <row r="214">
      <c r="B214" s="116"/>
      <c r="G214" s="117"/>
      <c r="H214" s="118"/>
      <c r="J214" s="119"/>
      <c r="K214" s="35"/>
    </row>
    <row r="215">
      <c r="B215" s="116"/>
      <c r="G215" s="117"/>
      <c r="H215" s="118"/>
      <c r="J215" s="119"/>
      <c r="K215" s="35"/>
    </row>
    <row r="216">
      <c r="B216" s="116"/>
      <c r="G216" s="117"/>
      <c r="H216" s="118"/>
      <c r="J216" s="119"/>
      <c r="K216" s="35"/>
    </row>
    <row r="217">
      <c r="B217" s="116"/>
      <c r="G217" s="117"/>
      <c r="H217" s="118"/>
      <c r="J217" s="119"/>
      <c r="K217" s="35"/>
    </row>
    <row r="218">
      <c r="B218" s="116"/>
      <c r="G218" s="117"/>
      <c r="H218" s="118"/>
      <c r="J218" s="119"/>
      <c r="K218" s="35"/>
    </row>
    <row r="219">
      <c r="B219" s="116"/>
      <c r="G219" s="117"/>
      <c r="H219" s="118"/>
      <c r="J219" s="119"/>
      <c r="K219" s="35"/>
    </row>
    <row r="220">
      <c r="B220" s="116"/>
      <c r="G220" s="117"/>
      <c r="H220" s="118"/>
      <c r="J220" s="119"/>
      <c r="K220" s="35"/>
    </row>
    <row r="221">
      <c r="B221" s="116"/>
      <c r="G221" s="117"/>
      <c r="H221" s="118"/>
      <c r="J221" s="119"/>
      <c r="K221" s="35"/>
    </row>
    <row r="222">
      <c r="B222" s="116"/>
      <c r="G222" s="117"/>
      <c r="H222" s="118"/>
      <c r="J222" s="119"/>
      <c r="K222" s="35"/>
    </row>
    <row r="223">
      <c r="B223" s="116"/>
      <c r="G223" s="117"/>
      <c r="H223" s="118"/>
      <c r="J223" s="119"/>
      <c r="K223" s="35"/>
    </row>
    <row r="224">
      <c r="B224" s="116"/>
      <c r="G224" s="117"/>
      <c r="H224" s="118"/>
      <c r="J224" s="119"/>
      <c r="K224" s="35"/>
    </row>
    <row r="225">
      <c r="B225" s="116"/>
      <c r="G225" s="117"/>
      <c r="H225" s="118"/>
      <c r="J225" s="119"/>
      <c r="K225" s="35"/>
    </row>
    <row r="226">
      <c r="B226" s="116"/>
      <c r="G226" s="117"/>
      <c r="H226" s="118"/>
      <c r="J226" s="119"/>
      <c r="K226" s="35"/>
    </row>
    <row r="227">
      <c r="B227" s="116"/>
      <c r="G227" s="117"/>
      <c r="H227" s="118"/>
      <c r="J227" s="119"/>
      <c r="K227" s="35"/>
    </row>
    <row r="228">
      <c r="B228" s="116"/>
      <c r="G228" s="117"/>
      <c r="H228" s="118"/>
      <c r="J228" s="119"/>
      <c r="K228" s="35"/>
    </row>
    <row r="229">
      <c r="B229" s="116"/>
      <c r="G229" s="117"/>
      <c r="H229" s="118"/>
      <c r="J229" s="119"/>
      <c r="K229" s="35"/>
    </row>
    <row r="230">
      <c r="B230" s="116"/>
      <c r="G230" s="117"/>
      <c r="H230" s="118"/>
      <c r="J230" s="119"/>
      <c r="K230" s="35"/>
    </row>
    <row r="231">
      <c r="B231" s="116"/>
      <c r="G231" s="117"/>
      <c r="H231" s="118"/>
      <c r="J231" s="119"/>
      <c r="K231" s="35"/>
    </row>
    <row r="232">
      <c r="B232" s="116"/>
      <c r="G232" s="117"/>
      <c r="H232" s="118"/>
      <c r="J232" s="119"/>
      <c r="K232" s="35"/>
    </row>
    <row r="233">
      <c r="B233" s="116"/>
      <c r="G233" s="117"/>
      <c r="H233" s="118"/>
      <c r="J233" s="119"/>
      <c r="K233" s="35"/>
    </row>
    <row r="234">
      <c r="B234" s="116"/>
      <c r="G234" s="117"/>
      <c r="H234" s="118"/>
      <c r="J234" s="119"/>
      <c r="K234" s="35"/>
    </row>
    <row r="235">
      <c r="B235" s="116"/>
      <c r="G235" s="117"/>
      <c r="H235" s="118"/>
      <c r="J235" s="119"/>
      <c r="K235" s="35"/>
    </row>
    <row r="236">
      <c r="B236" s="116"/>
      <c r="G236" s="117"/>
      <c r="H236" s="118"/>
      <c r="J236" s="119"/>
      <c r="K236" s="35"/>
    </row>
    <row r="237">
      <c r="B237" s="116"/>
      <c r="G237" s="117"/>
      <c r="H237" s="118"/>
      <c r="J237" s="119"/>
      <c r="K237" s="35"/>
    </row>
    <row r="238">
      <c r="B238" s="116"/>
      <c r="G238" s="117"/>
      <c r="H238" s="118"/>
      <c r="J238" s="119"/>
      <c r="K238" s="35"/>
    </row>
    <row r="239">
      <c r="B239" s="116"/>
      <c r="G239" s="117"/>
      <c r="H239" s="118"/>
      <c r="J239" s="119"/>
      <c r="K239" s="35"/>
    </row>
    <row r="240">
      <c r="B240" s="116"/>
      <c r="G240" s="117"/>
      <c r="H240" s="118"/>
      <c r="J240" s="119"/>
      <c r="K240" s="35"/>
    </row>
    <row r="241">
      <c r="B241" s="116"/>
      <c r="G241" s="117"/>
      <c r="H241" s="118"/>
      <c r="J241" s="119"/>
      <c r="K241" s="35"/>
    </row>
    <row r="242">
      <c r="B242" s="116"/>
      <c r="G242" s="117"/>
      <c r="H242" s="118"/>
      <c r="J242" s="119"/>
      <c r="K242" s="35"/>
    </row>
    <row r="243">
      <c r="B243" s="116"/>
      <c r="G243" s="117"/>
      <c r="H243" s="118"/>
      <c r="J243" s="119"/>
      <c r="K243" s="35"/>
    </row>
    <row r="244">
      <c r="B244" s="116"/>
      <c r="G244" s="117"/>
      <c r="H244" s="118"/>
      <c r="J244" s="119"/>
      <c r="K244" s="35"/>
    </row>
    <row r="245">
      <c r="B245" s="116"/>
      <c r="G245" s="117"/>
      <c r="H245" s="118"/>
      <c r="J245" s="119"/>
      <c r="K245" s="35"/>
    </row>
    <row r="246">
      <c r="B246" s="116"/>
      <c r="G246" s="117"/>
      <c r="H246" s="118"/>
      <c r="J246" s="119"/>
      <c r="K246" s="35"/>
    </row>
    <row r="247">
      <c r="B247" s="116"/>
      <c r="G247" s="117"/>
      <c r="H247" s="118"/>
      <c r="J247" s="119"/>
      <c r="K247" s="35"/>
    </row>
    <row r="248">
      <c r="B248" s="116"/>
      <c r="G248" s="117"/>
      <c r="H248" s="118"/>
      <c r="J248" s="119"/>
      <c r="K248" s="35"/>
    </row>
    <row r="249">
      <c r="B249" s="116"/>
      <c r="G249" s="117"/>
      <c r="H249" s="118"/>
      <c r="J249" s="119"/>
      <c r="K249" s="35"/>
    </row>
    <row r="250">
      <c r="B250" s="116"/>
      <c r="G250" s="117"/>
      <c r="H250" s="118"/>
      <c r="J250" s="119"/>
      <c r="K250" s="35"/>
    </row>
    <row r="251">
      <c r="B251" s="116"/>
      <c r="G251" s="117"/>
      <c r="H251" s="118"/>
      <c r="J251" s="119"/>
      <c r="K251" s="35"/>
    </row>
    <row r="252">
      <c r="B252" s="116"/>
      <c r="G252" s="117"/>
      <c r="H252" s="118"/>
      <c r="J252" s="119"/>
      <c r="K252" s="35"/>
    </row>
    <row r="253">
      <c r="B253" s="116"/>
      <c r="G253" s="117"/>
      <c r="H253" s="118"/>
      <c r="J253" s="119"/>
      <c r="K253" s="35"/>
    </row>
    <row r="254">
      <c r="B254" s="116"/>
      <c r="G254" s="117"/>
      <c r="H254" s="118"/>
      <c r="J254" s="119"/>
      <c r="K254" s="35"/>
    </row>
    <row r="255">
      <c r="B255" s="116"/>
      <c r="G255" s="117"/>
      <c r="H255" s="118"/>
      <c r="J255" s="119"/>
      <c r="K255" s="35"/>
    </row>
    <row r="256">
      <c r="B256" s="116"/>
      <c r="G256" s="117"/>
      <c r="H256" s="118"/>
      <c r="J256" s="119"/>
      <c r="K256" s="35"/>
    </row>
    <row r="257">
      <c r="B257" s="116"/>
      <c r="G257" s="117"/>
      <c r="H257" s="118"/>
      <c r="J257" s="119"/>
      <c r="K257" s="35"/>
    </row>
    <row r="258">
      <c r="B258" s="116"/>
      <c r="G258" s="117"/>
      <c r="H258" s="118"/>
      <c r="J258" s="119"/>
      <c r="K258" s="35"/>
    </row>
    <row r="259">
      <c r="B259" s="116"/>
      <c r="G259" s="117"/>
      <c r="H259" s="118"/>
      <c r="J259" s="119"/>
      <c r="K259" s="35"/>
    </row>
    <row r="260">
      <c r="B260" s="116"/>
      <c r="G260" s="117"/>
      <c r="H260" s="118"/>
      <c r="J260" s="119"/>
      <c r="K260" s="35"/>
    </row>
    <row r="261">
      <c r="B261" s="116"/>
      <c r="G261" s="117"/>
      <c r="H261" s="118"/>
      <c r="J261" s="119"/>
      <c r="K261" s="35"/>
    </row>
    <row r="262">
      <c r="B262" s="116"/>
      <c r="G262" s="117"/>
      <c r="H262" s="118"/>
      <c r="J262" s="119"/>
      <c r="K262" s="35"/>
    </row>
    <row r="263">
      <c r="B263" s="116"/>
      <c r="G263" s="117"/>
      <c r="H263" s="118"/>
      <c r="J263" s="119"/>
      <c r="K263" s="35"/>
    </row>
    <row r="264">
      <c r="B264" s="116"/>
      <c r="G264" s="117"/>
      <c r="H264" s="118"/>
      <c r="J264" s="119"/>
      <c r="K264" s="35"/>
    </row>
    <row r="265">
      <c r="B265" s="116"/>
      <c r="G265" s="117"/>
      <c r="H265" s="118"/>
      <c r="J265" s="119"/>
      <c r="K265" s="35"/>
    </row>
    <row r="266">
      <c r="B266" s="116"/>
      <c r="G266" s="117"/>
      <c r="H266" s="118"/>
      <c r="J266" s="119"/>
      <c r="K266" s="35"/>
    </row>
    <row r="267">
      <c r="B267" s="116"/>
      <c r="G267" s="117"/>
      <c r="H267" s="118"/>
      <c r="J267" s="119"/>
      <c r="K267" s="35"/>
    </row>
    <row r="268">
      <c r="B268" s="116"/>
      <c r="G268" s="117"/>
      <c r="H268" s="118"/>
      <c r="J268" s="119"/>
      <c r="K268" s="35"/>
    </row>
    <row r="269">
      <c r="B269" s="116"/>
      <c r="G269" s="117"/>
      <c r="H269" s="118"/>
      <c r="J269" s="119"/>
      <c r="K269" s="35"/>
    </row>
    <row r="270">
      <c r="B270" s="116"/>
      <c r="G270" s="117"/>
      <c r="H270" s="118"/>
      <c r="J270" s="119"/>
      <c r="K270" s="35"/>
    </row>
    <row r="271">
      <c r="B271" s="116"/>
      <c r="G271" s="117"/>
      <c r="H271" s="118"/>
      <c r="J271" s="119"/>
      <c r="K271" s="35"/>
    </row>
    <row r="272">
      <c r="B272" s="116"/>
      <c r="G272" s="117"/>
      <c r="H272" s="118"/>
      <c r="J272" s="119"/>
      <c r="K272" s="35"/>
    </row>
    <row r="273">
      <c r="B273" s="116"/>
      <c r="G273" s="117"/>
      <c r="H273" s="118"/>
      <c r="J273" s="119"/>
      <c r="K273" s="35"/>
    </row>
    <row r="274">
      <c r="B274" s="116"/>
      <c r="G274" s="117"/>
      <c r="H274" s="118"/>
      <c r="J274" s="119"/>
      <c r="K274" s="35"/>
    </row>
    <row r="275">
      <c r="B275" s="116"/>
      <c r="G275" s="117"/>
      <c r="H275" s="118"/>
      <c r="J275" s="119"/>
      <c r="K275" s="35"/>
    </row>
    <row r="276">
      <c r="B276" s="116"/>
      <c r="G276" s="117"/>
      <c r="H276" s="118"/>
      <c r="J276" s="119"/>
      <c r="K276" s="35"/>
    </row>
    <row r="277">
      <c r="B277" s="116"/>
      <c r="G277" s="117"/>
      <c r="H277" s="118"/>
      <c r="J277" s="119"/>
      <c r="K277" s="35"/>
    </row>
    <row r="278">
      <c r="B278" s="116"/>
      <c r="G278" s="117"/>
      <c r="H278" s="118"/>
      <c r="J278" s="119"/>
      <c r="K278" s="35"/>
    </row>
    <row r="279">
      <c r="B279" s="116"/>
      <c r="G279" s="117"/>
      <c r="H279" s="118"/>
      <c r="J279" s="119"/>
      <c r="K279" s="35"/>
    </row>
    <row r="280">
      <c r="B280" s="116"/>
      <c r="G280" s="117"/>
      <c r="H280" s="118"/>
      <c r="J280" s="119"/>
      <c r="K280" s="35"/>
    </row>
    <row r="281">
      <c r="B281" s="116"/>
      <c r="G281" s="117"/>
      <c r="H281" s="118"/>
      <c r="J281" s="119"/>
      <c r="K281" s="35"/>
    </row>
    <row r="282">
      <c r="B282" s="116"/>
      <c r="G282" s="117"/>
      <c r="H282" s="118"/>
      <c r="J282" s="119"/>
      <c r="K282" s="35"/>
    </row>
    <row r="283">
      <c r="B283" s="116"/>
      <c r="G283" s="117"/>
      <c r="H283" s="118"/>
      <c r="J283" s="119"/>
      <c r="K283" s="35"/>
    </row>
    <row r="284">
      <c r="B284" s="116"/>
      <c r="G284" s="117"/>
      <c r="H284" s="118"/>
      <c r="J284" s="119"/>
      <c r="K284" s="35"/>
    </row>
    <row r="285">
      <c r="B285" s="116"/>
      <c r="G285" s="117"/>
      <c r="H285" s="118"/>
      <c r="J285" s="119"/>
      <c r="K285" s="35"/>
    </row>
    <row r="286">
      <c r="B286" s="116"/>
      <c r="G286" s="117"/>
      <c r="H286" s="118"/>
      <c r="J286" s="119"/>
      <c r="K286" s="35"/>
    </row>
    <row r="287">
      <c r="B287" s="116"/>
      <c r="G287" s="117"/>
      <c r="H287" s="118"/>
      <c r="J287" s="119"/>
      <c r="K287" s="35"/>
    </row>
    <row r="288">
      <c r="B288" s="116"/>
      <c r="G288" s="117"/>
      <c r="H288" s="118"/>
      <c r="J288" s="119"/>
      <c r="K288" s="35"/>
    </row>
    <row r="289">
      <c r="B289" s="116"/>
      <c r="G289" s="117"/>
      <c r="H289" s="118"/>
      <c r="J289" s="119"/>
      <c r="K289" s="35"/>
    </row>
    <row r="290">
      <c r="B290" s="116"/>
      <c r="G290" s="117"/>
      <c r="H290" s="118"/>
      <c r="J290" s="119"/>
      <c r="K290" s="35"/>
    </row>
    <row r="291">
      <c r="B291" s="116"/>
      <c r="G291" s="117"/>
      <c r="H291" s="118"/>
      <c r="J291" s="119"/>
      <c r="K291" s="35"/>
    </row>
    <row r="292">
      <c r="B292" s="116"/>
      <c r="G292" s="117"/>
      <c r="H292" s="118"/>
      <c r="J292" s="119"/>
      <c r="K292" s="35"/>
    </row>
    <row r="293">
      <c r="B293" s="116"/>
      <c r="G293" s="117"/>
      <c r="H293" s="118"/>
      <c r="J293" s="119"/>
      <c r="K293" s="35"/>
    </row>
    <row r="294">
      <c r="B294" s="116"/>
      <c r="G294" s="117"/>
      <c r="H294" s="118"/>
      <c r="J294" s="119"/>
      <c r="K294" s="35"/>
    </row>
    <row r="295">
      <c r="B295" s="116"/>
      <c r="G295" s="117"/>
      <c r="H295" s="118"/>
      <c r="J295" s="119"/>
      <c r="K295" s="35"/>
    </row>
    <row r="296">
      <c r="B296" s="116"/>
      <c r="G296" s="117"/>
      <c r="H296" s="118"/>
      <c r="J296" s="119"/>
      <c r="K296" s="35"/>
    </row>
    <row r="297">
      <c r="B297" s="116"/>
      <c r="G297" s="117"/>
      <c r="H297" s="118"/>
      <c r="J297" s="119"/>
      <c r="K297" s="35"/>
    </row>
    <row r="298">
      <c r="B298" s="116"/>
      <c r="G298" s="117"/>
      <c r="H298" s="118"/>
      <c r="J298" s="119"/>
      <c r="K298" s="35"/>
    </row>
    <row r="299">
      <c r="B299" s="116"/>
      <c r="G299" s="117"/>
      <c r="H299" s="118"/>
      <c r="J299" s="119"/>
      <c r="K299" s="35"/>
    </row>
    <row r="300">
      <c r="B300" s="116"/>
      <c r="G300" s="117"/>
      <c r="H300" s="118"/>
      <c r="J300" s="119"/>
      <c r="K300" s="35"/>
    </row>
    <row r="301">
      <c r="B301" s="116"/>
      <c r="G301" s="117"/>
      <c r="H301" s="118"/>
      <c r="J301" s="119"/>
      <c r="K301" s="35"/>
    </row>
    <row r="302">
      <c r="B302" s="116"/>
      <c r="G302" s="117"/>
      <c r="H302" s="118"/>
      <c r="J302" s="119"/>
      <c r="K302" s="35"/>
    </row>
    <row r="303">
      <c r="B303" s="116"/>
      <c r="G303" s="117"/>
      <c r="H303" s="118"/>
      <c r="J303" s="119"/>
      <c r="K303" s="35"/>
    </row>
    <row r="304">
      <c r="B304" s="116"/>
      <c r="G304" s="117"/>
      <c r="H304" s="118"/>
      <c r="J304" s="119"/>
      <c r="K304" s="35"/>
    </row>
    <row r="305">
      <c r="B305" s="116"/>
      <c r="G305" s="117"/>
      <c r="H305" s="118"/>
      <c r="J305" s="119"/>
      <c r="K305" s="35"/>
    </row>
    <row r="306">
      <c r="B306" s="116"/>
      <c r="G306" s="117"/>
      <c r="H306" s="118"/>
      <c r="J306" s="119"/>
      <c r="K306" s="35"/>
    </row>
    <row r="307">
      <c r="B307" s="116"/>
      <c r="G307" s="117"/>
      <c r="H307" s="118"/>
      <c r="J307" s="119"/>
      <c r="K307" s="35"/>
    </row>
    <row r="308">
      <c r="B308" s="116"/>
      <c r="G308" s="117"/>
      <c r="H308" s="118"/>
      <c r="J308" s="119"/>
      <c r="K308" s="35"/>
    </row>
    <row r="309">
      <c r="B309" s="116"/>
      <c r="G309" s="117"/>
      <c r="H309" s="118"/>
      <c r="J309" s="119"/>
      <c r="K309" s="35"/>
    </row>
    <row r="310">
      <c r="B310" s="116"/>
      <c r="G310" s="117"/>
      <c r="H310" s="118"/>
      <c r="J310" s="119"/>
      <c r="K310" s="35"/>
    </row>
    <row r="311">
      <c r="B311" s="116"/>
      <c r="G311" s="117"/>
      <c r="H311" s="118"/>
      <c r="J311" s="119"/>
      <c r="K311" s="35"/>
    </row>
    <row r="312">
      <c r="B312" s="116"/>
      <c r="G312" s="117"/>
      <c r="H312" s="118"/>
      <c r="J312" s="119"/>
      <c r="K312" s="35"/>
    </row>
    <row r="313">
      <c r="B313" s="116"/>
      <c r="G313" s="117"/>
      <c r="H313" s="118"/>
      <c r="J313" s="119"/>
      <c r="K313" s="35"/>
    </row>
    <row r="314">
      <c r="B314" s="116"/>
      <c r="G314" s="117"/>
      <c r="H314" s="118"/>
      <c r="J314" s="119"/>
      <c r="K314" s="35"/>
    </row>
    <row r="315">
      <c r="B315" s="116"/>
      <c r="G315" s="117"/>
      <c r="H315" s="118"/>
      <c r="J315" s="119"/>
      <c r="K315" s="35"/>
    </row>
    <row r="316">
      <c r="B316" s="116"/>
      <c r="G316" s="117"/>
      <c r="H316" s="118"/>
      <c r="J316" s="119"/>
      <c r="K316" s="35"/>
    </row>
    <row r="317">
      <c r="B317" s="116"/>
      <c r="G317" s="117"/>
      <c r="H317" s="118"/>
      <c r="J317" s="119"/>
      <c r="K317" s="35"/>
    </row>
    <row r="318">
      <c r="B318" s="116"/>
      <c r="G318" s="117"/>
      <c r="H318" s="118"/>
      <c r="J318" s="119"/>
      <c r="K318" s="35"/>
    </row>
    <row r="319">
      <c r="B319" s="116"/>
      <c r="G319" s="117"/>
      <c r="H319" s="118"/>
      <c r="J319" s="119"/>
      <c r="K319" s="35"/>
    </row>
    <row r="320">
      <c r="B320" s="116"/>
      <c r="G320" s="117"/>
      <c r="H320" s="118"/>
      <c r="J320" s="119"/>
      <c r="K320" s="35"/>
    </row>
    <row r="321">
      <c r="B321" s="116"/>
      <c r="G321" s="117"/>
      <c r="H321" s="118"/>
      <c r="J321" s="119"/>
      <c r="K321" s="35"/>
    </row>
    <row r="322">
      <c r="B322" s="116"/>
      <c r="G322" s="117"/>
      <c r="H322" s="118"/>
      <c r="J322" s="119"/>
      <c r="K322" s="35"/>
    </row>
    <row r="323">
      <c r="B323" s="116"/>
      <c r="G323" s="117"/>
      <c r="H323" s="118"/>
      <c r="J323" s="119"/>
      <c r="K323" s="35"/>
    </row>
    <row r="324">
      <c r="B324" s="116"/>
      <c r="G324" s="117"/>
      <c r="H324" s="118"/>
      <c r="J324" s="119"/>
      <c r="K324" s="35"/>
    </row>
    <row r="325">
      <c r="B325" s="116"/>
      <c r="G325" s="117"/>
      <c r="H325" s="118"/>
      <c r="J325" s="119"/>
      <c r="K325" s="35"/>
    </row>
    <row r="326">
      <c r="B326" s="116"/>
      <c r="G326" s="117"/>
      <c r="H326" s="118"/>
      <c r="J326" s="119"/>
      <c r="K326" s="35"/>
    </row>
    <row r="327">
      <c r="B327" s="116"/>
      <c r="G327" s="117"/>
      <c r="H327" s="118"/>
      <c r="J327" s="119"/>
      <c r="K327" s="35"/>
    </row>
    <row r="328">
      <c r="B328" s="116"/>
      <c r="G328" s="117"/>
      <c r="H328" s="118"/>
      <c r="J328" s="119"/>
      <c r="K328" s="35"/>
    </row>
    <row r="329">
      <c r="B329" s="116"/>
      <c r="G329" s="117"/>
      <c r="H329" s="118"/>
      <c r="J329" s="119"/>
      <c r="K329" s="35"/>
    </row>
    <row r="330">
      <c r="B330" s="116"/>
      <c r="G330" s="117"/>
      <c r="H330" s="118"/>
      <c r="J330" s="119"/>
      <c r="K330" s="35"/>
    </row>
    <row r="331">
      <c r="B331" s="116"/>
      <c r="G331" s="117"/>
      <c r="H331" s="118"/>
      <c r="J331" s="119"/>
      <c r="K331" s="35"/>
    </row>
    <row r="332">
      <c r="B332" s="116"/>
      <c r="G332" s="117"/>
      <c r="H332" s="118"/>
      <c r="J332" s="119"/>
      <c r="K332" s="35"/>
    </row>
    <row r="333">
      <c r="B333" s="116"/>
      <c r="G333" s="117"/>
      <c r="H333" s="118"/>
      <c r="J333" s="119"/>
      <c r="K333" s="35"/>
    </row>
    <row r="334">
      <c r="B334" s="116"/>
      <c r="G334" s="117"/>
      <c r="H334" s="118"/>
      <c r="J334" s="119"/>
      <c r="K334" s="35"/>
    </row>
    <row r="335">
      <c r="B335" s="116"/>
      <c r="G335" s="117"/>
      <c r="H335" s="118"/>
      <c r="J335" s="119"/>
      <c r="K335" s="35"/>
    </row>
    <row r="336">
      <c r="B336" s="116"/>
      <c r="G336" s="117"/>
      <c r="H336" s="118"/>
      <c r="J336" s="119"/>
      <c r="K336" s="35"/>
    </row>
    <row r="337">
      <c r="B337" s="116"/>
      <c r="G337" s="117"/>
      <c r="H337" s="118"/>
      <c r="J337" s="119"/>
      <c r="K337" s="35"/>
    </row>
    <row r="338">
      <c r="B338" s="116"/>
      <c r="G338" s="117"/>
      <c r="H338" s="118"/>
      <c r="J338" s="119"/>
      <c r="K338" s="35"/>
    </row>
    <row r="339">
      <c r="B339" s="116"/>
      <c r="G339" s="117"/>
      <c r="H339" s="118"/>
      <c r="J339" s="119"/>
      <c r="K339" s="35"/>
    </row>
    <row r="340">
      <c r="B340" s="116"/>
      <c r="G340" s="117"/>
      <c r="H340" s="118"/>
      <c r="J340" s="119"/>
      <c r="K340" s="35"/>
    </row>
    <row r="341">
      <c r="B341" s="116"/>
      <c r="G341" s="117"/>
      <c r="H341" s="118"/>
      <c r="J341" s="119"/>
      <c r="K341" s="35"/>
    </row>
    <row r="342">
      <c r="B342" s="116"/>
      <c r="G342" s="117"/>
      <c r="H342" s="118"/>
      <c r="J342" s="119"/>
      <c r="K342" s="35"/>
    </row>
    <row r="343">
      <c r="B343" s="116"/>
      <c r="G343" s="117"/>
      <c r="H343" s="118"/>
      <c r="J343" s="119"/>
      <c r="K343" s="35"/>
    </row>
    <row r="344">
      <c r="B344" s="116"/>
      <c r="G344" s="117"/>
      <c r="H344" s="118"/>
      <c r="J344" s="119"/>
      <c r="K344" s="35"/>
    </row>
    <row r="345">
      <c r="B345" s="116"/>
      <c r="G345" s="117"/>
      <c r="H345" s="118"/>
      <c r="J345" s="119"/>
      <c r="K345" s="35"/>
    </row>
    <row r="346">
      <c r="B346" s="116"/>
      <c r="G346" s="117"/>
      <c r="H346" s="118"/>
      <c r="J346" s="119"/>
      <c r="K346" s="35"/>
    </row>
    <row r="347">
      <c r="B347" s="116"/>
      <c r="G347" s="117"/>
      <c r="H347" s="118"/>
      <c r="J347" s="119"/>
      <c r="K347" s="35"/>
    </row>
    <row r="348">
      <c r="B348" s="116"/>
      <c r="G348" s="117"/>
      <c r="H348" s="118"/>
      <c r="J348" s="119"/>
      <c r="K348" s="35"/>
    </row>
    <row r="349">
      <c r="B349" s="116"/>
      <c r="G349" s="117"/>
      <c r="H349" s="118"/>
      <c r="J349" s="119"/>
      <c r="K349" s="35"/>
    </row>
    <row r="350">
      <c r="B350" s="116"/>
      <c r="G350" s="117"/>
      <c r="H350" s="118"/>
      <c r="J350" s="119"/>
      <c r="K350" s="35"/>
    </row>
    <row r="351">
      <c r="B351" s="116"/>
      <c r="G351" s="117"/>
      <c r="H351" s="118"/>
      <c r="J351" s="119"/>
      <c r="K351" s="35"/>
    </row>
    <row r="352">
      <c r="B352" s="116"/>
      <c r="G352" s="117"/>
      <c r="H352" s="118"/>
      <c r="J352" s="119"/>
      <c r="K352" s="35"/>
    </row>
    <row r="353">
      <c r="B353" s="116"/>
      <c r="G353" s="117"/>
      <c r="H353" s="118"/>
      <c r="J353" s="119"/>
      <c r="K353" s="35"/>
    </row>
    <row r="354">
      <c r="B354" s="116"/>
      <c r="G354" s="117"/>
      <c r="H354" s="118"/>
      <c r="J354" s="119"/>
      <c r="K354" s="35"/>
    </row>
    <row r="355">
      <c r="B355" s="116"/>
      <c r="G355" s="117"/>
      <c r="H355" s="118"/>
      <c r="J355" s="119"/>
      <c r="K355" s="35"/>
    </row>
    <row r="356">
      <c r="B356" s="116"/>
      <c r="G356" s="117"/>
      <c r="H356" s="118"/>
      <c r="J356" s="119"/>
      <c r="K356" s="35"/>
    </row>
    <row r="357">
      <c r="B357" s="116"/>
      <c r="G357" s="117"/>
      <c r="H357" s="118"/>
      <c r="J357" s="119"/>
      <c r="K357" s="35"/>
    </row>
    <row r="358">
      <c r="B358" s="116"/>
      <c r="G358" s="117"/>
      <c r="H358" s="118"/>
      <c r="J358" s="119"/>
      <c r="K358" s="35"/>
    </row>
    <row r="359">
      <c r="B359" s="116"/>
      <c r="G359" s="117"/>
      <c r="H359" s="118"/>
      <c r="J359" s="119"/>
      <c r="K359" s="35"/>
    </row>
    <row r="360">
      <c r="B360" s="116"/>
      <c r="G360" s="117"/>
      <c r="H360" s="118"/>
      <c r="J360" s="119"/>
      <c r="K360" s="35"/>
    </row>
    <row r="361">
      <c r="B361" s="116"/>
      <c r="G361" s="117"/>
      <c r="H361" s="118"/>
      <c r="J361" s="119"/>
      <c r="K361" s="35"/>
    </row>
    <row r="362">
      <c r="B362" s="116"/>
      <c r="G362" s="117"/>
      <c r="H362" s="118"/>
      <c r="J362" s="119"/>
      <c r="K362" s="35"/>
    </row>
    <row r="363">
      <c r="B363" s="116"/>
      <c r="G363" s="117"/>
      <c r="H363" s="118"/>
      <c r="J363" s="119"/>
      <c r="K363" s="35"/>
    </row>
    <row r="364">
      <c r="B364" s="116"/>
      <c r="G364" s="117"/>
      <c r="H364" s="118"/>
      <c r="J364" s="119"/>
      <c r="K364" s="35"/>
    </row>
    <row r="365">
      <c r="B365" s="116"/>
      <c r="G365" s="117"/>
      <c r="H365" s="118"/>
      <c r="J365" s="119"/>
      <c r="K365" s="35"/>
    </row>
    <row r="366">
      <c r="B366" s="116"/>
      <c r="G366" s="117"/>
      <c r="H366" s="118"/>
      <c r="J366" s="119"/>
      <c r="K366" s="35"/>
    </row>
    <row r="367">
      <c r="B367" s="116"/>
      <c r="G367" s="117"/>
      <c r="H367" s="118"/>
      <c r="J367" s="119"/>
      <c r="K367" s="35"/>
    </row>
    <row r="368">
      <c r="B368" s="116"/>
      <c r="G368" s="117"/>
      <c r="H368" s="118"/>
      <c r="J368" s="119"/>
      <c r="K368" s="35"/>
    </row>
    <row r="369">
      <c r="B369" s="116"/>
      <c r="G369" s="117"/>
      <c r="H369" s="118"/>
      <c r="J369" s="119"/>
      <c r="K369" s="35"/>
    </row>
    <row r="370">
      <c r="B370" s="116"/>
      <c r="G370" s="117"/>
      <c r="H370" s="118"/>
      <c r="J370" s="119"/>
      <c r="K370" s="35"/>
    </row>
    <row r="371">
      <c r="B371" s="116"/>
      <c r="G371" s="117"/>
      <c r="H371" s="118"/>
      <c r="J371" s="119"/>
      <c r="K371" s="35"/>
    </row>
    <row r="372">
      <c r="B372" s="116"/>
      <c r="G372" s="117"/>
      <c r="H372" s="118"/>
      <c r="J372" s="119"/>
      <c r="K372" s="35"/>
    </row>
    <row r="373">
      <c r="B373" s="116"/>
      <c r="G373" s="117"/>
      <c r="H373" s="118"/>
      <c r="J373" s="119"/>
      <c r="K373" s="35"/>
    </row>
    <row r="374">
      <c r="B374" s="116"/>
      <c r="G374" s="117"/>
      <c r="H374" s="118"/>
      <c r="J374" s="119"/>
      <c r="K374" s="35"/>
    </row>
    <row r="375">
      <c r="B375" s="116"/>
      <c r="G375" s="117"/>
      <c r="H375" s="118"/>
      <c r="J375" s="119"/>
      <c r="K375" s="35"/>
    </row>
    <row r="376">
      <c r="B376" s="116"/>
      <c r="G376" s="117"/>
      <c r="H376" s="118"/>
      <c r="J376" s="119"/>
      <c r="K376" s="35"/>
    </row>
    <row r="377">
      <c r="B377" s="116"/>
      <c r="G377" s="117"/>
      <c r="H377" s="118"/>
      <c r="J377" s="119"/>
      <c r="K377" s="35"/>
    </row>
    <row r="378">
      <c r="B378" s="116"/>
      <c r="G378" s="117"/>
      <c r="H378" s="118"/>
      <c r="J378" s="119"/>
      <c r="K378" s="35"/>
    </row>
    <row r="379">
      <c r="B379" s="116"/>
      <c r="G379" s="117"/>
      <c r="H379" s="118"/>
      <c r="J379" s="119"/>
      <c r="K379" s="35"/>
    </row>
    <row r="380">
      <c r="B380" s="116"/>
      <c r="G380" s="117"/>
      <c r="H380" s="118"/>
      <c r="J380" s="119"/>
      <c r="K380" s="35"/>
    </row>
    <row r="381">
      <c r="B381" s="116"/>
      <c r="G381" s="117"/>
      <c r="H381" s="118"/>
      <c r="J381" s="119"/>
      <c r="K381" s="35"/>
    </row>
    <row r="382">
      <c r="B382" s="116"/>
      <c r="G382" s="117"/>
      <c r="H382" s="118"/>
      <c r="J382" s="119"/>
      <c r="K382" s="35"/>
    </row>
    <row r="383">
      <c r="B383" s="116"/>
      <c r="G383" s="117"/>
      <c r="H383" s="118"/>
      <c r="J383" s="119"/>
      <c r="K383" s="35"/>
    </row>
    <row r="384">
      <c r="B384" s="116"/>
      <c r="G384" s="117"/>
      <c r="H384" s="118"/>
      <c r="J384" s="119"/>
      <c r="K384" s="35"/>
    </row>
    <row r="385">
      <c r="B385" s="116"/>
      <c r="G385" s="117"/>
      <c r="H385" s="118"/>
      <c r="J385" s="119"/>
      <c r="K385" s="35"/>
    </row>
    <row r="386">
      <c r="B386" s="116"/>
      <c r="G386" s="117"/>
      <c r="H386" s="118"/>
      <c r="J386" s="119"/>
      <c r="K386" s="35"/>
    </row>
    <row r="387">
      <c r="B387" s="116"/>
      <c r="G387" s="117"/>
      <c r="H387" s="118"/>
      <c r="J387" s="119"/>
      <c r="K387" s="35"/>
    </row>
    <row r="388">
      <c r="B388" s="116"/>
      <c r="G388" s="117"/>
      <c r="H388" s="118"/>
      <c r="J388" s="119"/>
      <c r="K388" s="35"/>
    </row>
    <row r="389">
      <c r="B389" s="116"/>
      <c r="G389" s="117"/>
      <c r="H389" s="118"/>
      <c r="J389" s="119"/>
      <c r="K389" s="35"/>
    </row>
    <row r="390">
      <c r="B390" s="116"/>
      <c r="G390" s="117"/>
      <c r="H390" s="118"/>
      <c r="J390" s="119"/>
      <c r="K390" s="35"/>
    </row>
    <row r="391">
      <c r="B391" s="116"/>
      <c r="G391" s="117"/>
      <c r="H391" s="118"/>
      <c r="J391" s="119"/>
      <c r="K391" s="35"/>
    </row>
    <row r="392">
      <c r="B392" s="116"/>
      <c r="G392" s="117"/>
      <c r="H392" s="118"/>
      <c r="J392" s="119"/>
      <c r="K392" s="35"/>
    </row>
    <row r="393">
      <c r="B393" s="116"/>
      <c r="G393" s="117"/>
      <c r="H393" s="118"/>
      <c r="J393" s="119"/>
      <c r="K393" s="35"/>
    </row>
    <row r="394">
      <c r="B394" s="116"/>
      <c r="G394" s="117"/>
      <c r="H394" s="118"/>
      <c r="J394" s="119"/>
      <c r="K394" s="35"/>
    </row>
    <row r="395">
      <c r="B395" s="116"/>
      <c r="G395" s="117"/>
      <c r="H395" s="118"/>
      <c r="J395" s="119"/>
      <c r="K395" s="35"/>
    </row>
    <row r="396">
      <c r="B396" s="116"/>
      <c r="G396" s="117"/>
      <c r="H396" s="118"/>
      <c r="J396" s="119"/>
      <c r="K396" s="35"/>
    </row>
    <row r="397">
      <c r="B397" s="116"/>
      <c r="G397" s="117"/>
      <c r="H397" s="118"/>
      <c r="J397" s="119"/>
      <c r="K397" s="35"/>
    </row>
    <row r="398">
      <c r="B398" s="116"/>
      <c r="G398" s="117"/>
      <c r="H398" s="118"/>
      <c r="J398" s="119"/>
      <c r="K398" s="35"/>
    </row>
    <row r="399">
      <c r="B399" s="116"/>
      <c r="G399" s="117"/>
      <c r="H399" s="118"/>
      <c r="J399" s="119"/>
      <c r="K399" s="35"/>
    </row>
    <row r="400">
      <c r="B400" s="116"/>
      <c r="G400" s="117"/>
      <c r="H400" s="118"/>
      <c r="J400" s="119"/>
      <c r="K400" s="35"/>
    </row>
    <row r="401">
      <c r="B401" s="116"/>
      <c r="G401" s="117"/>
      <c r="H401" s="118"/>
      <c r="J401" s="119"/>
      <c r="K401" s="35"/>
    </row>
    <row r="402">
      <c r="B402" s="116"/>
      <c r="G402" s="117"/>
      <c r="H402" s="118"/>
      <c r="J402" s="119"/>
      <c r="K402" s="35"/>
    </row>
    <row r="403">
      <c r="B403" s="116"/>
      <c r="G403" s="117"/>
      <c r="H403" s="118"/>
      <c r="J403" s="119"/>
      <c r="K403" s="35"/>
    </row>
    <row r="404">
      <c r="B404" s="116"/>
      <c r="G404" s="117"/>
      <c r="H404" s="118"/>
      <c r="J404" s="119"/>
      <c r="K404" s="35"/>
    </row>
    <row r="405">
      <c r="B405" s="116"/>
      <c r="G405" s="117"/>
      <c r="H405" s="118"/>
      <c r="J405" s="119"/>
      <c r="K405" s="35"/>
    </row>
    <row r="406">
      <c r="B406" s="116"/>
      <c r="G406" s="117"/>
      <c r="H406" s="118"/>
      <c r="J406" s="119"/>
      <c r="K406" s="35"/>
    </row>
    <row r="407">
      <c r="B407" s="116"/>
      <c r="G407" s="117"/>
      <c r="H407" s="118"/>
      <c r="J407" s="119"/>
      <c r="K407" s="35"/>
    </row>
    <row r="408">
      <c r="B408" s="116"/>
      <c r="G408" s="117"/>
      <c r="H408" s="118"/>
      <c r="J408" s="119"/>
      <c r="K408" s="35"/>
    </row>
    <row r="409">
      <c r="B409" s="116"/>
      <c r="G409" s="117"/>
      <c r="H409" s="118"/>
      <c r="J409" s="119"/>
      <c r="K409" s="35"/>
    </row>
    <row r="410">
      <c r="B410" s="116"/>
      <c r="G410" s="117"/>
      <c r="H410" s="118"/>
      <c r="J410" s="119"/>
      <c r="K410" s="35"/>
    </row>
    <row r="411">
      <c r="B411" s="116"/>
      <c r="G411" s="117"/>
      <c r="H411" s="118"/>
      <c r="J411" s="119"/>
      <c r="K411" s="35"/>
    </row>
    <row r="412">
      <c r="B412" s="116"/>
      <c r="G412" s="117"/>
      <c r="H412" s="118"/>
      <c r="J412" s="119"/>
      <c r="K412" s="35"/>
    </row>
    <row r="413">
      <c r="B413" s="116"/>
      <c r="G413" s="117"/>
      <c r="H413" s="118"/>
      <c r="J413" s="119"/>
      <c r="K413" s="35"/>
    </row>
    <row r="414">
      <c r="B414" s="116"/>
      <c r="G414" s="117"/>
      <c r="H414" s="118"/>
      <c r="J414" s="119"/>
      <c r="K414" s="35"/>
    </row>
    <row r="415">
      <c r="B415" s="116"/>
      <c r="G415" s="117"/>
      <c r="H415" s="118"/>
      <c r="J415" s="119"/>
      <c r="K415" s="35"/>
    </row>
    <row r="416">
      <c r="B416" s="116"/>
      <c r="G416" s="117"/>
      <c r="H416" s="118"/>
      <c r="J416" s="119"/>
      <c r="K416" s="35"/>
    </row>
    <row r="417">
      <c r="B417" s="116"/>
      <c r="G417" s="117"/>
      <c r="H417" s="118"/>
      <c r="J417" s="119"/>
      <c r="K417" s="35"/>
    </row>
    <row r="418">
      <c r="B418" s="116"/>
      <c r="G418" s="117"/>
      <c r="H418" s="118"/>
      <c r="J418" s="119"/>
      <c r="K418" s="35"/>
    </row>
    <row r="419">
      <c r="B419" s="116"/>
      <c r="G419" s="117"/>
      <c r="H419" s="118"/>
      <c r="J419" s="119"/>
      <c r="K419" s="35"/>
    </row>
    <row r="420">
      <c r="B420" s="116"/>
      <c r="G420" s="117"/>
      <c r="H420" s="118"/>
      <c r="J420" s="119"/>
      <c r="K420" s="35"/>
    </row>
    <row r="421">
      <c r="B421" s="116"/>
      <c r="G421" s="117"/>
      <c r="H421" s="118"/>
      <c r="J421" s="119"/>
      <c r="K421" s="35"/>
    </row>
    <row r="422">
      <c r="B422" s="116"/>
      <c r="G422" s="117"/>
      <c r="H422" s="118"/>
      <c r="J422" s="119"/>
      <c r="K422" s="35"/>
    </row>
    <row r="423">
      <c r="B423" s="116"/>
      <c r="G423" s="117"/>
      <c r="H423" s="118"/>
      <c r="J423" s="119"/>
      <c r="K423" s="35"/>
    </row>
    <row r="424">
      <c r="B424" s="116"/>
      <c r="G424" s="117"/>
      <c r="H424" s="118"/>
      <c r="J424" s="119"/>
      <c r="K424" s="35"/>
    </row>
    <row r="425">
      <c r="B425" s="116"/>
      <c r="G425" s="117"/>
      <c r="H425" s="118"/>
      <c r="J425" s="119"/>
      <c r="K425" s="35"/>
    </row>
    <row r="426">
      <c r="B426" s="116"/>
      <c r="G426" s="117"/>
      <c r="H426" s="118"/>
      <c r="J426" s="119"/>
      <c r="K426" s="35"/>
    </row>
    <row r="427">
      <c r="B427" s="116"/>
      <c r="G427" s="117"/>
      <c r="H427" s="118"/>
      <c r="J427" s="119"/>
      <c r="K427" s="35"/>
    </row>
    <row r="428">
      <c r="B428" s="116"/>
      <c r="G428" s="117"/>
      <c r="H428" s="118"/>
      <c r="J428" s="119"/>
      <c r="K428" s="35"/>
    </row>
    <row r="429">
      <c r="B429" s="116"/>
      <c r="G429" s="117"/>
      <c r="H429" s="118"/>
      <c r="J429" s="119"/>
      <c r="K429" s="35"/>
    </row>
    <row r="430">
      <c r="B430" s="116"/>
      <c r="G430" s="117"/>
      <c r="H430" s="118"/>
      <c r="J430" s="119"/>
      <c r="K430" s="35"/>
    </row>
    <row r="431">
      <c r="B431" s="116"/>
      <c r="G431" s="117"/>
      <c r="H431" s="118"/>
      <c r="J431" s="119"/>
      <c r="K431" s="35"/>
    </row>
    <row r="432">
      <c r="B432" s="116"/>
      <c r="G432" s="117"/>
      <c r="H432" s="118"/>
      <c r="J432" s="119"/>
      <c r="K432" s="35"/>
    </row>
    <row r="433">
      <c r="B433" s="116"/>
      <c r="G433" s="117"/>
      <c r="H433" s="118"/>
      <c r="J433" s="119"/>
      <c r="K433" s="35"/>
    </row>
    <row r="434">
      <c r="B434" s="116"/>
      <c r="G434" s="117"/>
      <c r="H434" s="118"/>
      <c r="J434" s="119"/>
      <c r="K434" s="35"/>
    </row>
    <row r="435">
      <c r="B435" s="116"/>
      <c r="G435" s="117"/>
      <c r="H435" s="118"/>
      <c r="J435" s="119"/>
      <c r="K435" s="35"/>
    </row>
    <row r="436">
      <c r="B436" s="116"/>
      <c r="G436" s="117"/>
      <c r="H436" s="118"/>
      <c r="J436" s="119"/>
      <c r="K436" s="35"/>
    </row>
    <row r="437">
      <c r="B437" s="116"/>
      <c r="G437" s="117"/>
      <c r="H437" s="118"/>
      <c r="J437" s="119"/>
      <c r="K437" s="35"/>
    </row>
    <row r="438">
      <c r="B438" s="116"/>
      <c r="G438" s="117"/>
      <c r="H438" s="118"/>
      <c r="J438" s="119"/>
      <c r="K438" s="35"/>
    </row>
    <row r="439">
      <c r="B439" s="116"/>
      <c r="G439" s="117"/>
      <c r="H439" s="118"/>
      <c r="J439" s="119"/>
      <c r="K439" s="35"/>
    </row>
    <row r="440">
      <c r="B440" s="116"/>
      <c r="G440" s="117"/>
      <c r="H440" s="118"/>
      <c r="J440" s="119"/>
      <c r="K440" s="35"/>
    </row>
    <row r="441">
      <c r="B441" s="116"/>
      <c r="G441" s="117"/>
      <c r="H441" s="118"/>
      <c r="J441" s="119"/>
      <c r="K441" s="35"/>
    </row>
    <row r="442">
      <c r="B442" s="116"/>
      <c r="G442" s="117"/>
      <c r="H442" s="118"/>
      <c r="J442" s="119"/>
      <c r="K442" s="35"/>
    </row>
    <row r="443">
      <c r="B443" s="116"/>
      <c r="G443" s="117"/>
      <c r="H443" s="118"/>
      <c r="J443" s="119"/>
      <c r="K443" s="35"/>
    </row>
    <row r="444">
      <c r="B444" s="116"/>
      <c r="G444" s="117"/>
      <c r="H444" s="118"/>
      <c r="J444" s="119"/>
      <c r="K444" s="35"/>
    </row>
    <row r="445">
      <c r="B445" s="116"/>
      <c r="G445" s="117"/>
      <c r="H445" s="118"/>
      <c r="J445" s="119"/>
      <c r="K445" s="35"/>
    </row>
    <row r="446">
      <c r="B446" s="116"/>
      <c r="G446" s="117"/>
      <c r="H446" s="118"/>
      <c r="J446" s="119"/>
      <c r="K446" s="35"/>
    </row>
    <row r="447">
      <c r="B447" s="116"/>
      <c r="G447" s="117"/>
      <c r="H447" s="118"/>
      <c r="J447" s="119"/>
      <c r="K447" s="35"/>
    </row>
    <row r="448">
      <c r="B448" s="116"/>
      <c r="G448" s="117"/>
      <c r="H448" s="118"/>
      <c r="J448" s="119"/>
      <c r="K448" s="35"/>
    </row>
    <row r="449">
      <c r="B449" s="116"/>
      <c r="G449" s="117"/>
      <c r="H449" s="118"/>
      <c r="J449" s="119"/>
      <c r="K449" s="35"/>
    </row>
    <row r="450">
      <c r="B450" s="116"/>
      <c r="G450" s="117"/>
      <c r="H450" s="118"/>
      <c r="J450" s="119"/>
      <c r="K450" s="35"/>
    </row>
    <row r="451">
      <c r="B451" s="116"/>
      <c r="G451" s="117"/>
      <c r="H451" s="118"/>
      <c r="J451" s="119"/>
      <c r="K451" s="35"/>
    </row>
    <row r="452">
      <c r="B452" s="116"/>
      <c r="G452" s="117"/>
      <c r="H452" s="118"/>
      <c r="J452" s="119"/>
      <c r="K452" s="35"/>
    </row>
    <row r="453">
      <c r="B453" s="116"/>
      <c r="G453" s="117"/>
      <c r="H453" s="118"/>
      <c r="J453" s="119"/>
      <c r="K453" s="35"/>
    </row>
    <row r="454">
      <c r="B454" s="116"/>
      <c r="G454" s="117"/>
      <c r="H454" s="118"/>
      <c r="J454" s="119"/>
      <c r="K454" s="35"/>
    </row>
    <row r="455">
      <c r="B455" s="116"/>
      <c r="G455" s="117"/>
      <c r="H455" s="118"/>
      <c r="J455" s="119"/>
      <c r="K455" s="35"/>
    </row>
    <row r="456">
      <c r="B456" s="116"/>
      <c r="G456" s="117"/>
      <c r="H456" s="118"/>
      <c r="J456" s="119"/>
      <c r="K456" s="35"/>
    </row>
    <row r="457">
      <c r="B457" s="116"/>
      <c r="G457" s="117"/>
      <c r="H457" s="118"/>
      <c r="J457" s="119"/>
      <c r="K457" s="35"/>
    </row>
    <row r="458">
      <c r="B458" s="116"/>
      <c r="G458" s="117"/>
      <c r="H458" s="118"/>
      <c r="J458" s="119"/>
      <c r="K458" s="35"/>
    </row>
    <row r="459">
      <c r="B459" s="116"/>
      <c r="G459" s="117"/>
      <c r="H459" s="118"/>
      <c r="J459" s="119"/>
      <c r="K459" s="35"/>
    </row>
    <row r="460">
      <c r="B460" s="116"/>
      <c r="G460" s="117"/>
      <c r="H460" s="118"/>
      <c r="J460" s="119"/>
      <c r="K460" s="35"/>
    </row>
    <row r="461">
      <c r="B461" s="116"/>
      <c r="G461" s="117"/>
      <c r="H461" s="118"/>
      <c r="J461" s="119"/>
      <c r="K461" s="35"/>
    </row>
    <row r="462">
      <c r="B462" s="116"/>
      <c r="G462" s="117"/>
      <c r="H462" s="118"/>
      <c r="J462" s="119"/>
      <c r="K462" s="35"/>
    </row>
    <row r="463">
      <c r="B463" s="116"/>
      <c r="G463" s="117"/>
      <c r="H463" s="118"/>
      <c r="J463" s="119"/>
      <c r="K463" s="35"/>
    </row>
    <row r="464">
      <c r="B464" s="116"/>
      <c r="G464" s="117"/>
      <c r="H464" s="118"/>
      <c r="J464" s="119"/>
      <c r="K464" s="35"/>
    </row>
    <row r="465">
      <c r="B465" s="116"/>
      <c r="G465" s="117"/>
      <c r="H465" s="118"/>
      <c r="J465" s="119"/>
      <c r="K465" s="35"/>
    </row>
    <row r="466">
      <c r="B466" s="116"/>
      <c r="G466" s="117"/>
      <c r="H466" s="118"/>
      <c r="J466" s="119"/>
      <c r="K466" s="35"/>
    </row>
    <row r="467">
      <c r="B467" s="116"/>
      <c r="G467" s="117"/>
      <c r="H467" s="118"/>
      <c r="J467" s="119"/>
      <c r="K467" s="35"/>
    </row>
    <row r="468">
      <c r="B468" s="116"/>
      <c r="G468" s="117"/>
      <c r="H468" s="118"/>
      <c r="J468" s="119"/>
      <c r="K468" s="35"/>
    </row>
    <row r="469">
      <c r="B469" s="116"/>
      <c r="G469" s="117"/>
      <c r="H469" s="118"/>
      <c r="J469" s="119"/>
      <c r="K469" s="35"/>
    </row>
    <row r="470">
      <c r="B470" s="116"/>
      <c r="G470" s="117"/>
      <c r="H470" s="118"/>
      <c r="J470" s="119"/>
      <c r="K470" s="35"/>
    </row>
    <row r="471">
      <c r="B471" s="116"/>
      <c r="G471" s="117"/>
      <c r="H471" s="118"/>
      <c r="J471" s="119"/>
      <c r="K471" s="35"/>
    </row>
    <row r="472">
      <c r="B472" s="116"/>
      <c r="G472" s="117"/>
      <c r="H472" s="118"/>
      <c r="J472" s="119"/>
      <c r="K472" s="35"/>
    </row>
    <row r="473">
      <c r="B473" s="116"/>
      <c r="G473" s="117"/>
      <c r="H473" s="118"/>
      <c r="J473" s="119"/>
      <c r="K473" s="35"/>
    </row>
    <row r="474">
      <c r="B474" s="116"/>
      <c r="G474" s="117"/>
      <c r="H474" s="118"/>
      <c r="J474" s="119"/>
      <c r="K474" s="35"/>
    </row>
    <row r="475">
      <c r="B475" s="116"/>
      <c r="G475" s="117"/>
      <c r="H475" s="118"/>
      <c r="J475" s="119"/>
      <c r="K475" s="35"/>
    </row>
    <row r="476">
      <c r="B476" s="116"/>
      <c r="G476" s="117"/>
      <c r="H476" s="118"/>
      <c r="J476" s="119"/>
      <c r="K476" s="35"/>
    </row>
    <row r="477">
      <c r="B477" s="116"/>
      <c r="G477" s="117"/>
      <c r="H477" s="118"/>
      <c r="J477" s="119"/>
      <c r="K477" s="35"/>
    </row>
    <row r="478">
      <c r="B478" s="116"/>
      <c r="G478" s="117"/>
      <c r="H478" s="118"/>
      <c r="J478" s="119"/>
      <c r="K478" s="35"/>
    </row>
    <row r="479">
      <c r="B479" s="116"/>
      <c r="G479" s="117"/>
      <c r="H479" s="118"/>
      <c r="J479" s="119"/>
      <c r="K479" s="35"/>
    </row>
    <row r="480">
      <c r="B480" s="116"/>
      <c r="G480" s="117"/>
      <c r="H480" s="118"/>
      <c r="J480" s="119"/>
      <c r="K480" s="35"/>
    </row>
    <row r="481">
      <c r="B481" s="116"/>
      <c r="G481" s="117"/>
      <c r="H481" s="118"/>
      <c r="J481" s="119"/>
      <c r="K481" s="35"/>
    </row>
    <row r="482">
      <c r="B482" s="116"/>
      <c r="G482" s="117"/>
      <c r="H482" s="118"/>
      <c r="J482" s="119"/>
      <c r="K482" s="35"/>
    </row>
    <row r="483">
      <c r="B483" s="116"/>
      <c r="G483" s="117"/>
      <c r="H483" s="118"/>
      <c r="J483" s="119"/>
      <c r="K483" s="35"/>
    </row>
    <row r="484">
      <c r="B484" s="116"/>
      <c r="G484" s="117"/>
      <c r="H484" s="118"/>
      <c r="J484" s="119"/>
      <c r="K484" s="35"/>
    </row>
    <row r="485">
      <c r="B485" s="116"/>
      <c r="G485" s="117"/>
      <c r="H485" s="118"/>
      <c r="J485" s="119"/>
      <c r="K485" s="35"/>
    </row>
    <row r="486">
      <c r="B486" s="116"/>
      <c r="G486" s="117"/>
      <c r="H486" s="118"/>
      <c r="J486" s="119"/>
      <c r="K486" s="35"/>
    </row>
    <row r="487">
      <c r="B487" s="116"/>
      <c r="G487" s="117"/>
      <c r="H487" s="118"/>
      <c r="J487" s="119"/>
      <c r="K487" s="35"/>
    </row>
    <row r="488">
      <c r="B488" s="116"/>
      <c r="G488" s="117"/>
      <c r="H488" s="118"/>
      <c r="J488" s="119"/>
      <c r="K488" s="35"/>
    </row>
    <row r="489">
      <c r="B489" s="116"/>
      <c r="G489" s="117"/>
      <c r="H489" s="118"/>
      <c r="J489" s="119"/>
      <c r="K489" s="35"/>
    </row>
    <row r="490">
      <c r="B490" s="116"/>
      <c r="G490" s="117"/>
      <c r="H490" s="118"/>
      <c r="J490" s="119"/>
      <c r="K490" s="35"/>
    </row>
    <row r="491">
      <c r="B491" s="116"/>
      <c r="G491" s="117"/>
      <c r="H491" s="118"/>
      <c r="J491" s="119"/>
      <c r="K491" s="35"/>
    </row>
    <row r="492">
      <c r="B492" s="116"/>
      <c r="G492" s="117"/>
      <c r="H492" s="118"/>
      <c r="J492" s="119"/>
      <c r="K492" s="35"/>
    </row>
    <row r="493">
      <c r="B493" s="116"/>
      <c r="G493" s="117"/>
      <c r="H493" s="118"/>
      <c r="J493" s="119"/>
      <c r="K493" s="35"/>
    </row>
    <row r="494">
      <c r="B494" s="116"/>
      <c r="G494" s="117"/>
      <c r="H494" s="118"/>
      <c r="J494" s="119"/>
      <c r="K494" s="35"/>
    </row>
    <row r="495">
      <c r="B495" s="116"/>
      <c r="G495" s="117"/>
      <c r="H495" s="118"/>
      <c r="J495" s="119"/>
      <c r="K495" s="35"/>
    </row>
    <row r="496">
      <c r="B496" s="116"/>
      <c r="G496" s="117"/>
      <c r="H496" s="118"/>
      <c r="J496" s="119"/>
      <c r="K496" s="35"/>
    </row>
    <row r="497">
      <c r="B497" s="116"/>
      <c r="G497" s="117"/>
      <c r="H497" s="118"/>
      <c r="J497" s="119"/>
      <c r="K497" s="35"/>
    </row>
    <row r="498">
      <c r="B498" s="116"/>
      <c r="G498" s="117"/>
      <c r="H498" s="118"/>
      <c r="J498" s="119"/>
      <c r="K498" s="35"/>
    </row>
    <row r="499">
      <c r="B499" s="116"/>
      <c r="G499" s="117"/>
      <c r="H499" s="118"/>
      <c r="J499" s="119"/>
      <c r="K499" s="35"/>
    </row>
    <row r="500">
      <c r="B500" s="116"/>
      <c r="G500" s="117"/>
      <c r="H500" s="118"/>
      <c r="J500" s="119"/>
      <c r="K500" s="35"/>
    </row>
    <row r="501">
      <c r="B501" s="116"/>
      <c r="G501" s="117"/>
      <c r="H501" s="118"/>
      <c r="J501" s="119"/>
      <c r="K501" s="35"/>
    </row>
    <row r="502">
      <c r="B502" s="116"/>
      <c r="G502" s="117"/>
      <c r="H502" s="118"/>
      <c r="J502" s="119"/>
      <c r="K502" s="35"/>
    </row>
    <row r="503">
      <c r="B503" s="116"/>
      <c r="G503" s="117"/>
      <c r="H503" s="118"/>
      <c r="J503" s="119"/>
      <c r="K503" s="35"/>
    </row>
    <row r="504">
      <c r="B504" s="116"/>
      <c r="G504" s="117"/>
      <c r="H504" s="118"/>
      <c r="J504" s="119"/>
      <c r="K504" s="35"/>
    </row>
    <row r="505">
      <c r="B505" s="116"/>
      <c r="G505" s="117"/>
      <c r="H505" s="118"/>
      <c r="J505" s="119"/>
      <c r="K505" s="35"/>
    </row>
    <row r="506">
      <c r="B506" s="116"/>
      <c r="G506" s="117"/>
      <c r="H506" s="118"/>
      <c r="J506" s="119"/>
      <c r="K506" s="35"/>
    </row>
    <row r="507">
      <c r="B507" s="116"/>
      <c r="G507" s="117"/>
      <c r="H507" s="118"/>
      <c r="J507" s="119"/>
      <c r="K507" s="35"/>
    </row>
    <row r="508">
      <c r="B508" s="116"/>
      <c r="G508" s="117"/>
      <c r="H508" s="118"/>
      <c r="J508" s="119"/>
      <c r="K508" s="35"/>
    </row>
    <row r="509">
      <c r="B509" s="116"/>
      <c r="G509" s="117"/>
      <c r="H509" s="118"/>
      <c r="J509" s="119"/>
      <c r="K509" s="35"/>
    </row>
    <row r="510">
      <c r="B510" s="116"/>
      <c r="G510" s="117"/>
      <c r="H510" s="118"/>
      <c r="J510" s="119"/>
      <c r="K510" s="35"/>
    </row>
    <row r="511">
      <c r="B511" s="116"/>
      <c r="G511" s="117"/>
      <c r="H511" s="118"/>
      <c r="J511" s="119"/>
      <c r="K511" s="35"/>
    </row>
    <row r="512">
      <c r="B512" s="116"/>
      <c r="G512" s="117"/>
      <c r="H512" s="118"/>
      <c r="J512" s="119"/>
      <c r="K512" s="35"/>
    </row>
    <row r="513">
      <c r="B513" s="116"/>
      <c r="G513" s="117"/>
      <c r="H513" s="118"/>
      <c r="J513" s="119"/>
      <c r="K513" s="35"/>
    </row>
    <row r="514">
      <c r="B514" s="116"/>
      <c r="G514" s="117"/>
      <c r="H514" s="118"/>
      <c r="J514" s="119"/>
      <c r="K514" s="35"/>
    </row>
    <row r="515">
      <c r="B515" s="116"/>
      <c r="G515" s="117"/>
      <c r="H515" s="118"/>
      <c r="J515" s="119"/>
      <c r="K515" s="35"/>
    </row>
    <row r="516">
      <c r="B516" s="116"/>
      <c r="G516" s="117"/>
      <c r="H516" s="118"/>
      <c r="J516" s="119"/>
      <c r="K516" s="35"/>
    </row>
    <row r="517">
      <c r="B517" s="116"/>
      <c r="G517" s="117"/>
      <c r="H517" s="118"/>
      <c r="J517" s="119"/>
      <c r="K517" s="35"/>
    </row>
    <row r="518">
      <c r="B518" s="116"/>
      <c r="G518" s="117"/>
      <c r="H518" s="118"/>
      <c r="J518" s="119"/>
      <c r="K518" s="35"/>
    </row>
    <row r="519">
      <c r="B519" s="116"/>
      <c r="G519" s="117"/>
      <c r="H519" s="118"/>
      <c r="J519" s="119"/>
      <c r="K519" s="35"/>
    </row>
    <row r="520">
      <c r="B520" s="116"/>
      <c r="G520" s="117"/>
      <c r="H520" s="118"/>
      <c r="J520" s="119"/>
      <c r="K520" s="35"/>
    </row>
    <row r="521">
      <c r="B521" s="116"/>
      <c r="G521" s="117"/>
      <c r="H521" s="118"/>
      <c r="J521" s="119"/>
      <c r="K521" s="35"/>
    </row>
    <row r="522">
      <c r="B522" s="116"/>
      <c r="G522" s="117"/>
      <c r="H522" s="118"/>
      <c r="J522" s="119"/>
      <c r="K522" s="35"/>
    </row>
    <row r="523">
      <c r="B523" s="116"/>
      <c r="G523" s="117"/>
      <c r="H523" s="118"/>
      <c r="J523" s="119"/>
      <c r="K523" s="35"/>
    </row>
    <row r="524">
      <c r="B524" s="116"/>
      <c r="G524" s="117"/>
      <c r="H524" s="118"/>
      <c r="J524" s="119"/>
      <c r="K524" s="35"/>
    </row>
    <row r="525">
      <c r="B525" s="116"/>
      <c r="G525" s="117"/>
      <c r="H525" s="118"/>
      <c r="J525" s="119"/>
      <c r="K525" s="35"/>
    </row>
    <row r="526">
      <c r="B526" s="116"/>
      <c r="G526" s="117"/>
      <c r="H526" s="118"/>
      <c r="J526" s="119"/>
      <c r="K526" s="35"/>
    </row>
    <row r="527">
      <c r="B527" s="116"/>
      <c r="G527" s="117"/>
      <c r="H527" s="118"/>
      <c r="J527" s="119"/>
      <c r="K527" s="35"/>
    </row>
    <row r="528">
      <c r="B528" s="116"/>
      <c r="G528" s="117"/>
      <c r="H528" s="118"/>
      <c r="J528" s="119"/>
      <c r="K528" s="35"/>
    </row>
    <row r="529">
      <c r="B529" s="116"/>
      <c r="G529" s="117"/>
      <c r="H529" s="118"/>
      <c r="J529" s="119"/>
      <c r="K529" s="35"/>
    </row>
    <row r="530">
      <c r="B530" s="116"/>
      <c r="G530" s="117"/>
      <c r="H530" s="118"/>
      <c r="J530" s="119"/>
      <c r="K530" s="35"/>
    </row>
    <row r="531">
      <c r="B531" s="116"/>
      <c r="G531" s="117"/>
      <c r="H531" s="118"/>
      <c r="J531" s="119"/>
      <c r="K531" s="35"/>
    </row>
    <row r="532">
      <c r="B532" s="116"/>
      <c r="G532" s="117"/>
      <c r="H532" s="118"/>
      <c r="J532" s="119"/>
      <c r="K532" s="35"/>
    </row>
    <row r="533">
      <c r="B533" s="116"/>
      <c r="G533" s="117"/>
      <c r="H533" s="118"/>
      <c r="J533" s="119"/>
      <c r="K533" s="35"/>
    </row>
    <row r="534">
      <c r="B534" s="116"/>
      <c r="G534" s="117"/>
      <c r="H534" s="118"/>
      <c r="J534" s="119"/>
      <c r="K534" s="35"/>
    </row>
    <row r="535">
      <c r="B535" s="116"/>
      <c r="G535" s="117"/>
      <c r="H535" s="118"/>
      <c r="J535" s="119"/>
      <c r="K535" s="35"/>
    </row>
    <row r="536">
      <c r="B536" s="116"/>
      <c r="G536" s="117"/>
      <c r="H536" s="118"/>
      <c r="J536" s="119"/>
      <c r="K536" s="35"/>
    </row>
    <row r="537">
      <c r="B537" s="116"/>
      <c r="G537" s="117"/>
      <c r="H537" s="118"/>
      <c r="J537" s="119"/>
      <c r="K537" s="35"/>
    </row>
    <row r="538">
      <c r="B538" s="116"/>
      <c r="G538" s="117"/>
      <c r="H538" s="118"/>
      <c r="J538" s="119"/>
      <c r="K538" s="35"/>
    </row>
    <row r="539">
      <c r="B539" s="116"/>
      <c r="G539" s="117"/>
      <c r="H539" s="118"/>
      <c r="J539" s="119"/>
      <c r="K539" s="35"/>
    </row>
    <row r="540">
      <c r="B540" s="116"/>
      <c r="G540" s="117"/>
      <c r="H540" s="118"/>
      <c r="J540" s="119"/>
      <c r="K540" s="35"/>
    </row>
    <row r="541">
      <c r="B541" s="116"/>
      <c r="G541" s="117"/>
      <c r="H541" s="118"/>
      <c r="J541" s="119"/>
      <c r="K541" s="35"/>
    </row>
    <row r="542">
      <c r="B542" s="116"/>
      <c r="G542" s="117"/>
      <c r="H542" s="118"/>
      <c r="J542" s="119"/>
      <c r="K542" s="35"/>
    </row>
    <row r="543">
      <c r="B543" s="116"/>
      <c r="G543" s="117"/>
      <c r="H543" s="118"/>
      <c r="J543" s="119"/>
      <c r="K543" s="35"/>
    </row>
    <row r="544">
      <c r="B544" s="116"/>
      <c r="G544" s="117"/>
      <c r="H544" s="118"/>
      <c r="J544" s="119"/>
      <c r="K544" s="35"/>
    </row>
    <row r="545">
      <c r="B545" s="116"/>
      <c r="G545" s="117"/>
      <c r="H545" s="118"/>
      <c r="J545" s="119"/>
      <c r="K545" s="35"/>
    </row>
    <row r="546">
      <c r="B546" s="116"/>
      <c r="G546" s="117"/>
      <c r="H546" s="118"/>
      <c r="J546" s="119"/>
      <c r="K546" s="35"/>
    </row>
    <row r="547">
      <c r="B547" s="116"/>
      <c r="G547" s="117"/>
      <c r="H547" s="118"/>
      <c r="J547" s="119"/>
      <c r="K547" s="35"/>
    </row>
    <row r="548">
      <c r="B548" s="116"/>
      <c r="G548" s="117"/>
      <c r="H548" s="118"/>
      <c r="J548" s="119"/>
      <c r="K548" s="35"/>
    </row>
    <row r="549">
      <c r="B549" s="116"/>
      <c r="G549" s="117"/>
      <c r="H549" s="118"/>
      <c r="J549" s="119"/>
      <c r="K549" s="35"/>
    </row>
    <row r="550">
      <c r="B550" s="116"/>
      <c r="G550" s="117"/>
      <c r="H550" s="118"/>
      <c r="J550" s="119"/>
      <c r="K550" s="35"/>
    </row>
    <row r="551">
      <c r="B551" s="116"/>
      <c r="G551" s="117"/>
      <c r="H551" s="118"/>
      <c r="J551" s="119"/>
      <c r="K551" s="35"/>
    </row>
    <row r="552">
      <c r="B552" s="116"/>
      <c r="G552" s="117"/>
      <c r="H552" s="118"/>
      <c r="J552" s="119"/>
      <c r="K552" s="35"/>
    </row>
    <row r="553">
      <c r="B553" s="116"/>
      <c r="G553" s="117"/>
      <c r="H553" s="118"/>
      <c r="J553" s="119"/>
      <c r="K553" s="35"/>
    </row>
    <row r="554">
      <c r="B554" s="116"/>
      <c r="G554" s="117"/>
      <c r="H554" s="118"/>
      <c r="J554" s="119"/>
      <c r="K554" s="35"/>
    </row>
    <row r="555">
      <c r="B555" s="116"/>
      <c r="G555" s="117"/>
      <c r="H555" s="118"/>
      <c r="J555" s="119"/>
      <c r="K555" s="35"/>
    </row>
    <row r="556">
      <c r="B556" s="116"/>
      <c r="G556" s="117"/>
      <c r="H556" s="118"/>
      <c r="J556" s="119"/>
      <c r="K556" s="35"/>
    </row>
    <row r="557">
      <c r="B557" s="116"/>
      <c r="G557" s="117"/>
      <c r="H557" s="118"/>
      <c r="J557" s="119"/>
      <c r="K557" s="35"/>
    </row>
    <row r="558">
      <c r="B558" s="116"/>
      <c r="G558" s="117"/>
      <c r="H558" s="118"/>
      <c r="J558" s="119"/>
      <c r="K558" s="35"/>
    </row>
    <row r="559">
      <c r="B559" s="116"/>
      <c r="G559" s="117"/>
      <c r="H559" s="118"/>
      <c r="J559" s="119"/>
      <c r="K559" s="35"/>
    </row>
    <row r="560">
      <c r="B560" s="116"/>
      <c r="G560" s="117"/>
      <c r="H560" s="118"/>
      <c r="J560" s="119"/>
      <c r="K560" s="35"/>
    </row>
    <row r="561">
      <c r="B561" s="116"/>
      <c r="G561" s="117"/>
      <c r="H561" s="118"/>
      <c r="J561" s="119"/>
      <c r="K561" s="35"/>
    </row>
    <row r="562">
      <c r="B562" s="116"/>
      <c r="G562" s="117"/>
      <c r="H562" s="118"/>
      <c r="J562" s="119"/>
      <c r="K562" s="35"/>
    </row>
    <row r="563">
      <c r="B563" s="116"/>
      <c r="G563" s="117"/>
      <c r="H563" s="118"/>
      <c r="J563" s="119"/>
      <c r="K563" s="35"/>
    </row>
    <row r="564">
      <c r="B564" s="116"/>
      <c r="G564" s="117"/>
      <c r="H564" s="118"/>
      <c r="J564" s="119"/>
      <c r="K564" s="35"/>
    </row>
    <row r="565">
      <c r="B565" s="116"/>
      <c r="G565" s="117"/>
      <c r="H565" s="118"/>
      <c r="J565" s="119"/>
      <c r="K565" s="35"/>
    </row>
    <row r="566">
      <c r="B566" s="116"/>
      <c r="G566" s="117"/>
      <c r="H566" s="118"/>
      <c r="J566" s="119"/>
      <c r="K566" s="35"/>
    </row>
    <row r="567">
      <c r="B567" s="116"/>
      <c r="G567" s="117"/>
      <c r="H567" s="118"/>
      <c r="J567" s="119"/>
      <c r="K567" s="35"/>
    </row>
    <row r="568">
      <c r="B568" s="116"/>
      <c r="G568" s="117"/>
      <c r="H568" s="118"/>
      <c r="J568" s="119"/>
      <c r="K568" s="35"/>
    </row>
    <row r="569">
      <c r="B569" s="116"/>
      <c r="G569" s="117"/>
      <c r="H569" s="118"/>
      <c r="J569" s="119"/>
      <c r="K569" s="35"/>
    </row>
    <row r="570">
      <c r="B570" s="116"/>
      <c r="G570" s="117"/>
      <c r="H570" s="118"/>
      <c r="J570" s="119"/>
      <c r="K570" s="35"/>
    </row>
    <row r="571">
      <c r="B571" s="116"/>
      <c r="G571" s="117"/>
      <c r="H571" s="118"/>
      <c r="J571" s="119"/>
      <c r="K571" s="35"/>
    </row>
    <row r="572">
      <c r="B572" s="116"/>
      <c r="G572" s="117"/>
      <c r="H572" s="118"/>
      <c r="J572" s="119"/>
      <c r="K572" s="35"/>
    </row>
    <row r="573">
      <c r="B573" s="116"/>
      <c r="G573" s="117"/>
      <c r="H573" s="118"/>
      <c r="J573" s="119"/>
      <c r="K573" s="35"/>
    </row>
    <row r="574">
      <c r="B574" s="116"/>
      <c r="G574" s="117"/>
      <c r="H574" s="118"/>
      <c r="J574" s="119"/>
      <c r="K574" s="35"/>
    </row>
    <row r="575">
      <c r="B575" s="116"/>
      <c r="G575" s="117"/>
      <c r="H575" s="118"/>
      <c r="J575" s="119"/>
      <c r="K575" s="35"/>
    </row>
    <row r="576">
      <c r="B576" s="116"/>
      <c r="G576" s="117"/>
      <c r="H576" s="118"/>
      <c r="J576" s="119"/>
      <c r="K576" s="35"/>
    </row>
    <row r="577">
      <c r="B577" s="116"/>
      <c r="G577" s="117"/>
      <c r="H577" s="118"/>
      <c r="J577" s="119"/>
      <c r="K577" s="35"/>
    </row>
    <row r="578">
      <c r="B578" s="116"/>
      <c r="G578" s="117"/>
      <c r="H578" s="118"/>
      <c r="J578" s="119"/>
      <c r="K578" s="35"/>
    </row>
    <row r="579">
      <c r="B579" s="116"/>
      <c r="G579" s="117"/>
      <c r="H579" s="118"/>
      <c r="J579" s="119"/>
      <c r="K579" s="35"/>
    </row>
    <row r="580">
      <c r="B580" s="116"/>
      <c r="G580" s="117"/>
      <c r="H580" s="118"/>
      <c r="J580" s="119"/>
      <c r="K580" s="35"/>
    </row>
    <row r="581">
      <c r="B581" s="116"/>
      <c r="G581" s="117"/>
      <c r="H581" s="118"/>
      <c r="J581" s="119"/>
      <c r="K581" s="35"/>
    </row>
    <row r="582">
      <c r="B582" s="116"/>
      <c r="G582" s="117"/>
      <c r="H582" s="118"/>
      <c r="J582" s="119"/>
      <c r="K582" s="35"/>
    </row>
    <row r="583">
      <c r="B583" s="116"/>
      <c r="G583" s="117"/>
      <c r="H583" s="118"/>
      <c r="J583" s="119"/>
      <c r="K583" s="35"/>
    </row>
    <row r="584">
      <c r="B584" s="116"/>
      <c r="G584" s="117"/>
      <c r="H584" s="118"/>
      <c r="J584" s="119"/>
      <c r="K584" s="35"/>
    </row>
    <row r="585">
      <c r="B585" s="116"/>
      <c r="G585" s="117"/>
      <c r="H585" s="118"/>
      <c r="J585" s="119"/>
      <c r="K585" s="35"/>
    </row>
    <row r="586">
      <c r="B586" s="116"/>
      <c r="G586" s="117"/>
      <c r="H586" s="118"/>
      <c r="J586" s="119"/>
      <c r="K586" s="35"/>
    </row>
    <row r="587">
      <c r="B587" s="116"/>
      <c r="G587" s="117"/>
      <c r="H587" s="118"/>
      <c r="J587" s="119"/>
      <c r="K587" s="35"/>
    </row>
    <row r="588">
      <c r="B588" s="116"/>
      <c r="G588" s="117"/>
      <c r="H588" s="118"/>
      <c r="J588" s="119"/>
      <c r="K588" s="35"/>
    </row>
    <row r="589">
      <c r="B589" s="116"/>
      <c r="G589" s="117"/>
      <c r="H589" s="118"/>
      <c r="J589" s="119"/>
      <c r="K589" s="35"/>
    </row>
    <row r="590">
      <c r="B590" s="116"/>
      <c r="G590" s="117"/>
      <c r="H590" s="118"/>
      <c r="J590" s="119"/>
      <c r="K590" s="35"/>
    </row>
    <row r="591">
      <c r="B591" s="116"/>
      <c r="G591" s="117"/>
      <c r="H591" s="118"/>
      <c r="J591" s="119"/>
      <c r="K591" s="35"/>
    </row>
    <row r="592">
      <c r="B592" s="116"/>
      <c r="G592" s="117"/>
      <c r="H592" s="118"/>
      <c r="J592" s="119"/>
      <c r="K592" s="35"/>
    </row>
    <row r="593">
      <c r="B593" s="116"/>
      <c r="G593" s="117"/>
      <c r="H593" s="118"/>
      <c r="J593" s="119"/>
      <c r="K593" s="35"/>
    </row>
    <row r="594">
      <c r="B594" s="116"/>
      <c r="G594" s="117"/>
      <c r="H594" s="118"/>
      <c r="J594" s="119"/>
      <c r="K594" s="35"/>
    </row>
    <row r="595">
      <c r="B595" s="116"/>
      <c r="G595" s="117"/>
      <c r="H595" s="118"/>
      <c r="J595" s="119"/>
      <c r="K595" s="35"/>
    </row>
    <row r="596">
      <c r="B596" s="116"/>
      <c r="G596" s="117"/>
      <c r="H596" s="118"/>
      <c r="J596" s="119"/>
      <c r="K596" s="35"/>
    </row>
    <row r="597">
      <c r="B597" s="116"/>
      <c r="G597" s="117"/>
      <c r="H597" s="118"/>
      <c r="J597" s="119"/>
      <c r="K597" s="35"/>
    </row>
    <row r="598">
      <c r="B598" s="116"/>
      <c r="G598" s="117"/>
      <c r="H598" s="118"/>
      <c r="J598" s="119"/>
      <c r="K598" s="35"/>
    </row>
    <row r="599">
      <c r="B599" s="116"/>
      <c r="G599" s="117"/>
      <c r="H599" s="118"/>
      <c r="J599" s="119"/>
      <c r="K599" s="35"/>
    </row>
    <row r="600">
      <c r="B600" s="116"/>
      <c r="G600" s="117"/>
      <c r="H600" s="118"/>
      <c r="J600" s="119"/>
      <c r="K600" s="35"/>
    </row>
    <row r="601">
      <c r="B601" s="116"/>
      <c r="G601" s="117"/>
      <c r="H601" s="118"/>
      <c r="J601" s="119"/>
      <c r="K601" s="35"/>
    </row>
    <row r="602">
      <c r="B602" s="116"/>
      <c r="G602" s="117"/>
      <c r="H602" s="118"/>
      <c r="J602" s="119"/>
      <c r="K602" s="35"/>
    </row>
    <row r="603">
      <c r="B603" s="116"/>
      <c r="G603" s="117"/>
      <c r="H603" s="118"/>
      <c r="J603" s="119"/>
      <c r="K603" s="35"/>
    </row>
    <row r="604">
      <c r="B604" s="116"/>
      <c r="G604" s="117"/>
      <c r="H604" s="118"/>
      <c r="J604" s="119"/>
      <c r="K604" s="35"/>
    </row>
    <row r="605">
      <c r="B605" s="116"/>
      <c r="G605" s="117"/>
      <c r="H605" s="118"/>
      <c r="J605" s="119"/>
      <c r="K605" s="35"/>
    </row>
    <row r="606">
      <c r="B606" s="116"/>
      <c r="G606" s="117"/>
      <c r="H606" s="118"/>
      <c r="J606" s="119"/>
      <c r="K606" s="35"/>
    </row>
    <row r="607">
      <c r="B607" s="116"/>
      <c r="G607" s="117"/>
      <c r="H607" s="118"/>
      <c r="J607" s="119"/>
      <c r="K607" s="35"/>
    </row>
    <row r="608">
      <c r="B608" s="116"/>
      <c r="G608" s="117"/>
      <c r="H608" s="118"/>
      <c r="J608" s="119"/>
      <c r="K608" s="35"/>
    </row>
    <row r="609">
      <c r="B609" s="116"/>
      <c r="G609" s="117"/>
      <c r="H609" s="118"/>
      <c r="J609" s="119"/>
      <c r="K609" s="35"/>
    </row>
    <row r="610">
      <c r="B610" s="116"/>
      <c r="G610" s="117"/>
      <c r="H610" s="118"/>
      <c r="J610" s="119"/>
      <c r="K610" s="35"/>
    </row>
    <row r="611">
      <c r="B611" s="116"/>
      <c r="G611" s="117"/>
      <c r="H611" s="118"/>
      <c r="J611" s="119"/>
      <c r="K611" s="35"/>
    </row>
    <row r="612">
      <c r="B612" s="116"/>
      <c r="G612" s="117"/>
      <c r="H612" s="118"/>
      <c r="J612" s="119"/>
      <c r="K612" s="35"/>
    </row>
    <row r="613">
      <c r="B613" s="116"/>
      <c r="G613" s="117"/>
      <c r="H613" s="118"/>
      <c r="J613" s="119"/>
      <c r="K613" s="35"/>
    </row>
    <row r="614">
      <c r="B614" s="116"/>
      <c r="G614" s="117"/>
      <c r="H614" s="118"/>
      <c r="J614" s="119"/>
      <c r="K614" s="35"/>
    </row>
    <row r="615">
      <c r="B615" s="116"/>
      <c r="G615" s="117"/>
      <c r="H615" s="118"/>
      <c r="J615" s="119"/>
      <c r="K615" s="35"/>
    </row>
    <row r="616">
      <c r="B616" s="116"/>
      <c r="G616" s="117"/>
      <c r="H616" s="118"/>
      <c r="J616" s="119"/>
      <c r="K616" s="35"/>
    </row>
    <row r="617">
      <c r="B617" s="116"/>
      <c r="G617" s="117"/>
      <c r="H617" s="118"/>
      <c r="J617" s="119"/>
      <c r="K617" s="35"/>
    </row>
    <row r="618">
      <c r="B618" s="116"/>
      <c r="G618" s="117"/>
      <c r="H618" s="118"/>
      <c r="J618" s="119"/>
      <c r="K618" s="35"/>
    </row>
    <row r="619">
      <c r="B619" s="116"/>
      <c r="G619" s="117"/>
      <c r="H619" s="118"/>
      <c r="J619" s="119"/>
      <c r="K619" s="35"/>
    </row>
    <row r="620">
      <c r="B620" s="116"/>
      <c r="G620" s="117"/>
      <c r="H620" s="118"/>
      <c r="J620" s="119"/>
      <c r="K620" s="35"/>
    </row>
    <row r="621">
      <c r="B621" s="116"/>
      <c r="G621" s="117"/>
      <c r="H621" s="118"/>
      <c r="J621" s="119"/>
      <c r="K621" s="35"/>
    </row>
    <row r="622">
      <c r="B622" s="116"/>
      <c r="G622" s="117"/>
      <c r="H622" s="118"/>
      <c r="J622" s="119"/>
      <c r="K622" s="35"/>
    </row>
    <row r="623">
      <c r="B623" s="116"/>
      <c r="G623" s="117"/>
      <c r="H623" s="118"/>
      <c r="J623" s="119"/>
      <c r="K623" s="35"/>
    </row>
    <row r="624">
      <c r="B624" s="116"/>
      <c r="G624" s="117"/>
      <c r="H624" s="118"/>
      <c r="J624" s="119"/>
      <c r="K624" s="35"/>
    </row>
    <row r="625">
      <c r="B625" s="116"/>
      <c r="G625" s="117"/>
      <c r="H625" s="118"/>
      <c r="J625" s="119"/>
      <c r="K625" s="35"/>
    </row>
    <row r="626">
      <c r="B626" s="116"/>
      <c r="G626" s="117"/>
      <c r="H626" s="118"/>
      <c r="J626" s="119"/>
      <c r="K626" s="35"/>
    </row>
    <row r="627">
      <c r="B627" s="116"/>
      <c r="G627" s="117"/>
      <c r="H627" s="118"/>
      <c r="J627" s="119"/>
      <c r="K627" s="35"/>
    </row>
    <row r="628">
      <c r="B628" s="116"/>
      <c r="G628" s="117"/>
      <c r="H628" s="118"/>
      <c r="J628" s="119"/>
      <c r="K628" s="35"/>
    </row>
    <row r="629">
      <c r="B629" s="116"/>
      <c r="G629" s="117"/>
      <c r="H629" s="118"/>
      <c r="J629" s="119"/>
      <c r="K629" s="35"/>
    </row>
    <row r="630">
      <c r="B630" s="116"/>
      <c r="G630" s="117"/>
      <c r="H630" s="118"/>
      <c r="J630" s="119"/>
      <c r="K630" s="35"/>
    </row>
    <row r="631">
      <c r="B631" s="116"/>
      <c r="G631" s="117"/>
      <c r="H631" s="118"/>
      <c r="J631" s="119"/>
      <c r="K631" s="35"/>
    </row>
    <row r="632">
      <c r="B632" s="116"/>
      <c r="G632" s="117"/>
      <c r="H632" s="118"/>
      <c r="J632" s="119"/>
      <c r="K632" s="35"/>
    </row>
    <row r="633">
      <c r="B633" s="116"/>
      <c r="G633" s="117"/>
      <c r="H633" s="118"/>
      <c r="J633" s="119"/>
      <c r="K633" s="35"/>
    </row>
    <row r="634">
      <c r="B634" s="116"/>
      <c r="G634" s="117"/>
      <c r="H634" s="118"/>
      <c r="J634" s="119"/>
      <c r="K634" s="35"/>
    </row>
    <row r="635">
      <c r="B635" s="116"/>
      <c r="G635" s="117"/>
      <c r="H635" s="118"/>
      <c r="J635" s="119"/>
      <c r="K635" s="35"/>
    </row>
    <row r="636">
      <c r="B636" s="116"/>
      <c r="G636" s="117"/>
      <c r="H636" s="118"/>
      <c r="J636" s="119"/>
      <c r="K636" s="35"/>
    </row>
    <row r="637">
      <c r="B637" s="116"/>
      <c r="G637" s="117"/>
      <c r="H637" s="118"/>
      <c r="J637" s="119"/>
      <c r="K637" s="35"/>
    </row>
    <row r="638">
      <c r="B638" s="116"/>
      <c r="G638" s="117"/>
      <c r="H638" s="118"/>
      <c r="J638" s="119"/>
      <c r="K638" s="35"/>
    </row>
    <row r="639">
      <c r="B639" s="116"/>
      <c r="G639" s="117"/>
      <c r="H639" s="118"/>
      <c r="J639" s="119"/>
      <c r="K639" s="35"/>
    </row>
    <row r="640">
      <c r="B640" s="116"/>
      <c r="G640" s="117"/>
      <c r="H640" s="118"/>
      <c r="J640" s="119"/>
      <c r="K640" s="35"/>
    </row>
    <row r="641">
      <c r="B641" s="116"/>
      <c r="G641" s="117"/>
      <c r="H641" s="118"/>
      <c r="J641" s="119"/>
      <c r="K641" s="35"/>
    </row>
    <row r="642">
      <c r="B642" s="116"/>
      <c r="G642" s="117"/>
      <c r="H642" s="118"/>
      <c r="J642" s="119"/>
      <c r="K642" s="35"/>
    </row>
    <row r="643">
      <c r="B643" s="116"/>
      <c r="G643" s="117"/>
      <c r="H643" s="118"/>
      <c r="J643" s="119"/>
      <c r="K643" s="35"/>
    </row>
    <row r="644">
      <c r="B644" s="116"/>
      <c r="G644" s="117"/>
      <c r="H644" s="118"/>
      <c r="J644" s="119"/>
      <c r="K644" s="35"/>
    </row>
    <row r="645">
      <c r="B645" s="116"/>
      <c r="G645" s="117"/>
      <c r="H645" s="118"/>
      <c r="J645" s="119"/>
      <c r="K645" s="35"/>
    </row>
    <row r="646">
      <c r="B646" s="116"/>
      <c r="G646" s="117"/>
      <c r="H646" s="118"/>
      <c r="J646" s="119"/>
      <c r="K646" s="35"/>
    </row>
    <row r="647">
      <c r="B647" s="116"/>
      <c r="G647" s="117"/>
      <c r="H647" s="118"/>
      <c r="J647" s="119"/>
      <c r="K647" s="35"/>
    </row>
    <row r="648">
      <c r="B648" s="116"/>
      <c r="G648" s="117"/>
      <c r="H648" s="118"/>
      <c r="J648" s="119"/>
      <c r="K648" s="35"/>
    </row>
    <row r="649">
      <c r="B649" s="116"/>
      <c r="G649" s="117"/>
      <c r="H649" s="118"/>
      <c r="J649" s="119"/>
      <c r="K649" s="35"/>
    </row>
    <row r="650">
      <c r="B650" s="116"/>
      <c r="G650" s="117"/>
      <c r="H650" s="118"/>
      <c r="J650" s="119"/>
      <c r="K650" s="35"/>
    </row>
    <row r="651">
      <c r="B651" s="116"/>
      <c r="G651" s="117"/>
      <c r="H651" s="118"/>
      <c r="J651" s="119"/>
      <c r="K651" s="35"/>
    </row>
    <row r="652">
      <c r="B652" s="116"/>
      <c r="G652" s="117"/>
      <c r="H652" s="118"/>
      <c r="J652" s="119"/>
      <c r="K652" s="35"/>
    </row>
    <row r="653">
      <c r="B653" s="116"/>
      <c r="G653" s="117"/>
      <c r="H653" s="118"/>
      <c r="J653" s="119"/>
      <c r="K653" s="35"/>
    </row>
    <row r="654">
      <c r="B654" s="116"/>
      <c r="G654" s="117"/>
      <c r="H654" s="118"/>
      <c r="J654" s="119"/>
      <c r="K654" s="35"/>
    </row>
    <row r="655">
      <c r="B655" s="116"/>
      <c r="G655" s="117"/>
      <c r="H655" s="118"/>
      <c r="J655" s="119"/>
      <c r="K655" s="35"/>
    </row>
    <row r="656">
      <c r="B656" s="116"/>
      <c r="G656" s="117"/>
      <c r="H656" s="118"/>
      <c r="J656" s="119"/>
      <c r="K656" s="35"/>
    </row>
    <row r="657">
      <c r="B657" s="116"/>
      <c r="G657" s="117"/>
      <c r="H657" s="118"/>
      <c r="J657" s="119"/>
      <c r="K657" s="35"/>
    </row>
    <row r="658">
      <c r="B658" s="116"/>
      <c r="G658" s="117"/>
      <c r="H658" s="118"/>
      <c r="J658" s="119"/>
      <c r="K658" s="35"/>
    </row>
    <row r="659">
      <c r="B659" s="116"/>
      <c r="G659" s="117"/>
      <c r="H659" s="118"/>
      <c r="J659" s="119"/>
      <c r="K659" s="35"/>
    </row>
    <row r="660">
      <c r="B660" s="116"/>
      <c r="G660" s="117"/>
      <c r="H660" s="118"/>
      <c r="J660" s="119"/>
      <c r="K660" s="35"/>
    </row>
    <row r="661">
      <c r="B661" s="116"/>
      <c r="G661" s="117"/>
      <c r="H661" s="118"/>
      <c r="J661" s="119"/>
      <c r="K661" s="35"/>
    </row>
    <row r="662">
      <c r="B662" s="116"/>
      <c r="G662" s="117"/>
      <c r="H662" s="118"/>
      <c r="J662" s="119"/>
      <c r="K662" s="35"/>
    </row>
    <row r="663">
      <c r="B663" s="116"/>
      <c r="G663" s="117"/>
      <c r="H663" s="118"/>
      <c r="J663" s="119"/>
      <c r="K663" s="35"/>
    </row>
    <row r="664">
      <c r="B664" s="116"/>
      <c r="G664" s="117"/>
      <c r="H664" s="118"/>
      <c r="J664" s="119"/>
      <c r="K664" s="35"/>
    </row>
    <row r="665">
      <c r="B665" s="116"/>
      <c r="G665" s="117"/>
      <c r="H665" s="118"/>
      <c r="J665" s="119"/>
      <c r="K665" s="35"/>
    </row>
    <row r="666">
      <c r="B666" s="116"/>
      <c r="G666" s="117"/>
      <c r="H666" s="118"/>
      <c r="J666" s="119"/>
      <c r="K666" s="35"/>
    </row>
    <row r="667">
      <c r="B667" s="116"/>
      <c r="G667" s="117"/>
      <c r="H667" s="118"/>
      <c r="J667" s="119"/>
      <c r="K667" s="35"/>
    </row>
    <row r="668">
      <c r="B668" s="116"/>
      <c r="G668" s="117"/>
      <c r="H668" s="118"/>
      <c r="J668" s="119"/>
      <c r="K668" s="35"/>
    </row>
    <row r="669">
      <c r="B669" s="116"/>
      <c r="G669" s="117"/>
      <c r="H669" s="118"/>
      <c r="J669" s="119"/>
      <c r="K669" s="35"/>
    </row>
    <row r="670">
      <c r="B670" s="116"/>
      <c r="G670" s="117"/>
      <c r="H670" s="118"/>
      <c r="J670" s="119"/>
      <c r="K670" s="35"/>
    </row>
    <row r="671">
      <c r="B671" s="116"/>
      <c r="G671" s="117"/>
      <c r="H671" s="118"/>
      <c r="J671" s="119"/>
      <c r="K671" s="35"/>
    </row>
    <row r="672">
      <c r="B672" s="116"/>
      <c r="G672" s="117"/>
      <c r="H672" s="118"/>
      <c r="J672" s="119"/>
      <c r="K672" s="35"/>
    </row>
    <row r="673">
      <c r="B673" s="116"/>
      <c r="G673" s="117"/>
      <c r="H673" s="118"/>
      <c r="J673" s="119"/>
      <c r="K673" s="35"/>
    </row>
    <row r="674">
      <c r="B674" s="116"/>
      <c r="G674" s="117"/>
      <c r="H674" s="118"/>
      <c r="J674" s="119"/>
      <c r="K674" s="35"/>
    </row>
    <row r="675">
      <c r="B675" s="116"/>
      <c r="G675" s="117"/>
      <c r="H675" s="118"/>
      <c r="J675" s="119"/>
      <c r="K675" s="35"/>
    </row>
    <row r="676">
      <c r="B676" s="116"/>
      <c r="G676" s="117"/>
      <c r="H676" s="118"/>
      <c r="J676" s="119"/>
      <c r="K676" s="35"/>
    </row>
    <row r="677">
      <c r="B677" s="116"/>
      <c r="G677" s="117"/>
      <c r="H677" s="118"/>
      <c r="J677" s="119"/>
      <c r="K677" s="35"/>
    </row>
    <row r="678">
      <c r="B678" s="116"/>
      <c r="G678" s="117"/>
      <c r="H678" s="118"/>
      <c r="J678" s="119"/>
      <c r="K678" s="35"/>
    </row>
    <row r="679">
      <c r="B679" s="116"/>
      <c r="G679" s="117"/>
      <c r="H679" s="118"/>
      <c r="J679" s="119"/>
      <c r="K679" s="35"/>
    </row>
    <row r="680">
      <c r="B680" s="116"/>
      <c r="G680" s="117"/>
      <c r="H680" s="118"/>
      <c r="J680" s="119"/>
      <c r="K680" s="35"/>
    </row>
    <row r="681">
      <c r="B681" s="116"/>
      <c r="G681" s="117"/>
      <c r="H681" s="118"/>
      <c r="J681" s="119"/>
      <c r="K681" s="35"/>
    </row>
    <row r="682">
      <c r="B682" s="116"/>
      <c r="G682" s="117"/>
      <c r="H682" s="118"/>
      <c r="J682" s="119"/>
      <c r="K682" s="35"/>
    </row>
    <row r="683">
      <c r="B683" s="116"/>
      <c r="G683" s="117"/>
      <c r="H683" s="118"/>
      <c r="J683" s="119"/>
      <c r="K683" s="35"/>
    </row>
    <row r="684">
      <c r="B684" s="116"/>
      <c r="G684" s="117"/>
      <c r="H684" s="118"/>
      <c r="J684" s="119"/>
      <c r="K684" s="35"/>
    </row>
    <row r="685">
      <c r="B685" s="116"/>
      <c r="G685" s="117"/>
      <c r="H685" s="118"/>
      <c r="J685" s="119"/>
      <c r="K685" s="35"/>
    </row>
    <row r="686">
      <c r="B686" s="116"/>
      <c r="G686" s="117"/>
      <c r="H686" s="118"/>
      <c r="J686" s="119"/>
      <c r="K686" s="35"/>
    </row>
    <row r="687">
      <c r="B687" s="116"/>
      <c r="G687" s="117"/>
      <c r="H687" s="118"/>
      <c r="J687" s="119"/>
      <c r="K687" s="35"/>
    </row>
    <row r="688">
      <c r="B688" s="116"/>
      <c r="G688" s="117"/>
      <c r="H688" s="118"/>
      <c r="J688" s="119"/>
      <c r="K688" s="35"/>
    </row>
    <row r="689">
      <c r="B689" s="116"/>
      <c r="G689" s="117"/>
      <c r="H689" s="118"/>
      <c r="J689" s="119"/>
      <c r="K689" s="35"/>
    </row>
    <row r="690">
      <c r="B690" s="116"/>
      <c r="G690" s="117"/>
      <c r="H690" s="118"/>
      <c r="J690" s="119"/>
      <c r="K690" s="35"/>
    </row>
    <row r="691">
      <c r="B691" s="116"/>
      <c r="G691" s="117"/>
      <c r="H691" s="118"/>
      <c r="J691" s="119"/>
      <c r="K691" s="35"/>
    </row>
    <row r="692">
      <c r="B692" s="116"/>
      <c r="G692" s="117"/>
      <c r="H692" s="118"/>
      <c r="J692" s="119"/>
      <c r="K692" s="35"/>
    </row>
    <row r="693">
      <c r="B693" s="116"/>
      <c r="G693" s="117"/>
      <c r="H693" s="118"/>
      <c r="J693" s="119"/>
      <c r="K693" s="35"/>
    </row>
    <row r="694">
      <c r="B694" s="116"/>
      <c r="G694" s="117"/>
      <c r="H694" s="118"/>
      <c r="J694" s="119"/>
      <c r="K694" s="35"/>
    </row>
    <row r="695">
      <c r="B695" s="116"/>
      <c r="G695" s="117"/>
      <c r="H695" s="118"/>
      <c r="J695" s="119"/>
      <c r="K695" s="35"/>
    </row>
    <row r="696">
      <c r="B696" s="116"/>
      <c r="G696" s="117"/>
      <c r="H696" s="118"/>
      <c r="J696" s="119"/>
      <c r="K696" s="35"/>
    </row>
    <row r="697">
      <c r="B697" s="116"/>
      <c r="G697" s="117"/>
      <c r="H697" s="118"/>
      <c r="J697" s="119"/>
      <c r="K697" s="35"/>
    </row>
    <row r="698">
      <c r="B698" s="116"/>
      <c r="G698" s="117"/>
      <c r="H698" s="118"/>
      <c r="J698" s="119"/>
      <c r="K698" s="35"/>
    </row>
    <row r="699">
      <c r="B699" s="116"/>
      <c r="G699" s="117"/>
      <c r="H699" s="118"/>
      <c r="J699" s="119"/>
      <c r="K699" s="35"/>
    </row>
    <row r="700">
      <c r="B700" s="116"/>
      <c r="G700" s="117"/>
      <c r="H700" s="118"/>
      <c r="J700" s="119"/>
      <c r="K700" s="35"/>
    </row>
    <row r="701">
      <c r="B701" s="116"/>
      <c r="G701" s="117"/>
      <c r="H701" s="118"/>
      <c r="J701" s="119"/>
      <c r="K701" s="35"/>
    </row>
    <row r="702">
      <c r="B702" s="116"/>
      <c r="G702" s="117"/>
      <c r="H702" s="118"/>
      <c r="J702" s="119"/>
      <c r="K702" s="35"/>
    </row>
    <row r="703">
      <c r="B703" s="116"/>
      <c r="G703" s="117"/>
      <c r="H703" s="118"/>
      <c r="J703" s="119"/>
      <c r="K703" s="35"/>
    </row>
    <row r="704">
      <c r="B704" s="116"/>
      <c r="G704" s="117"/>
      <c r="H704" s="118"/>
      <c r="J704" s="119"/>
      <c r="K704" s="35"/>
    </row>
    <row r="705">
      <c r="B705" s="116"/>
      <c r="G705" s="117"/>
      <c r="H705" s="118"/>
      <c r="J705" s="119"/>
      <c r="K705" s="35"/>
    </row>
    <row r="706">
      <c r="B706" s="116"/>
      <c r="G706" s="117"/>
      <c r="H706" s="118"/>
      <c r="J706" s="119"/>
      <c r="K706" s="35"/>
    </row>
    <row r="707">
      <c r="B707" s="116"/>
      <c r="G707" s="117"/>
      <c r="H707" s="118"/>
      <c r="J707" s="119"/>
      <c r="K707" s="35"/>
    </row>
    <row r="708">
      <c r="B708" s="116"/>
      <c r="G708" s="117"/>
      <c r="H708" s="118"/>
      <c r="J708" s="119"/>
      <c r="K708" s="35"/>
    </row>
    <row r="709">
      <c r="B709" s="116"/>
      <c r="G709" s="117"/>
      <c r="H709" s="118"/>
      <c r="J709" s="119"/>
      <c r="K709" s="35"/>
    </row>
    <row r="710">
      <c r="B710" s="116"/>
      <c r="G710" s="117"/>
      <c r="H710" s="118"/>
      <c r="J710" s="119"/>
      <c r="K710" s="35"/>
    </row>
    <row r="711">
      <c r="B711" s="116"/>
      <c r="G711" s="117"/>
      <c r="H711" s="118"/>
      <c r="J711" s="119"/>
      <c r="K711" s="35"/>
    </row>
    <row r="712">
      <c r="B712" s="116"/>
      <c r="G712" s="117"/>
      <c r="H712" s="118"/>
      <c r="J712" s="119"/>
      <c r="K712" s="35"/>
    </row>
    <row r="713">
      <c r="B713" s="116"/>
      <c r="G713" s="117"/>
      <c r="H713" s="118"/>
      <c r="J713" s="119"/>
      <c r="K713" s="35"/>
    </row>
    <row r="714">
      <c r="B714" s="116"/>
      <c r="G714" s="117"/>
      <c r="H714" s="118"/>
      <c r="J714" s="119"/>
      <c r="K714" s="35"/>
    </row>
    <row r="715">
      <c r="B715" s="116"/>
      <c r="G715" s="117"/>
      <c r="H715" s="118"/>
      <c r="J715" s="119"/>
      <c r="K715" s="35"/>
    </row>
    <row r="716">
      <c r="B716" s="116"/>
      <c r="G716" s="117"/>
      <c r="H716" s="118"/>
      <c r="J716" s="119"/>
      <c r="K716" s="35"/>
    </row>
    <row r="717">
      <c r="B717" s="116"/>
      <c r="G717" s="117"/>
      <c r="H717" s="118"/>
      <c r="J717" s="119"/>
      <c r="K717" s="35"/>
    </row>
    <row r="718">
      <c r="B718" s="116"/>
      <c r="G718" s="117"/>
      <c r="H718" s="118"/>
      <c r="J718" s="119"/>
      <c r="K718" s="35"/>
    </row>
    <row r="719">
      <c r="B719" s="116"/>
      <c r="G719" s="117"/>
      <c r="H719" s="118"/>
      <c r="J719" s="119"/>
      <c r="K719" s="35"/>
    </row>
    <row r="720">
      <c r="B720" s="116"/>
      <c r="G720" s="117"/>
      <c r="H720" s="118"/>
      <c r="J720" s="119"/>
      <c r="K720" s="35"/>
    </row>
    <row r="721">
      <c r="B721" s="116"/>
      <c r="G721" s="117"/>
      <c r="H721" s="118"/>
      <c r="J721" s="119"/>
      <c r="K721" s="35"/>
    </row>
    <row r="722">
      <c r="B722" s="116"/>
      <c r="G722" s="117"/>
      <c r="H722" s="118"/>
      <c r="J722" s="119"/>
      <c r="K722" s="35"/>
    </row>
    <row r="723">
      <c r="B723" s="116"/>
      <c r="G723" s="117"/>
      <c r="H723" s="118"/>
      <c r="J723" s="119"/>
      <c r="K723" s="35"/>
    </row>
    <row r="724">
      <c r="B724" s="116"/>
      <c r="G724" s="117"/>
      <c r="H724" s="118"/>
      <c r="J724" s="119"/>
      <c r="K724" s="35"/>
    </row>
    <row r="725">
      <c r="B725" s="116"/>
      <c r="G725" s="117"/>
      <c r="H725" s="118"/>
      <c r="J725" s="119"/>
      <c r="K725" s="35"/>
    </row>
    <row r="726">
      <c r="B726" s="116"/>
      <c r="G726" s="117"/>
      <c r="H726" s="118"/>
      <c r="J726" s="119"/>
      <c r="K726" s="35"/>
    </row>
    <row r="727">
      <c r="B727" s="116"/>
      <c r="G727" s="117"/>
      <c r="H727" s="118"/>
      <c r="J727" s="119"/>
      <c r="K727" s="35"/>
    </row>
    <row r="728">
      <c r="B728" s="116"/>
      <c r="G728" s="117"/>
      <c r="H728" s="118"/>
      <c r="J728" s="119"/>
      <c r="K728" s="35"/>
    </row>
    <row r="729">
      <c r="B729" s="116"/>
      <c r="G729" s="117"/>
      <c r="H729" s="118"/>
      <c r="J729" s="119"/>
      <c r="K729" s="35"/>
    </row>
    <row r="730">
      <c r="B730" s="116"/>
      <c r="G730" s="117"/>
      <c r="H730" s="118"/>
      <c r="J730" s="119"/>
      <c r="K730" s="35"/>
    </row>
    <row r="731">
      <c r="B731" s="116"/>
      <c r="G731" s="117"/>
      <c r="H731" s="118"/>
      <c r="J731" s="119"/>
      <c r="K731" s="35"/>
    </row>
    <row r="732">
      <c r="B732" s="116"/>
      <c r="G732" s="117"/>
      <c r="H732" s="118"/>
      <c r="J732" s="119"/>
      <c r="K732" s="35"/>
    </row>
    <row r="733">
      <c r="B733" s="116"/>
      <c r="G733" s="117"/>
      <c r="H733" s="118"/>
      <c r="J733" s="119"/>
      <c r="K733" s="35"/>
    </row>
    <row r="734">
      <c r="B734" s="116"/>
      <c r="G734" s="117"/>
      <c r="H734" s="118"/>
      <c r="J734" s="119"/>
      <c r="K734" s="35"/>
    </row>
    <row r="735">
      <c r="B735" s="116"/>
      <c r="G735" s="117"/>
      <c r="H735" s="118"/>
      <c r="J735" s="119"/>
      <c r="K735" s="35"/>
    </row>
    <row r="736">
      <c r="B736" s="116"/>
      <c r="G736" s="117"/>
      <c r="H736" s="118"/>
      <c r="J736" s="119"/>
      <c r="K736" s="35"/>
    </row>
    <row r="737">
      <c r="B737" s="116"/>
      <c r="G737" s="117"/>
      <c r="H737" s="118"/>
      <c r="J737" s="119"/>
      <c r="K737" s="35"/>
    </row>
    <row r="738">
      <c r="B738" s="116"/>
      <c r="G738" s="117"/>
      <c r="H738" s="118"/>
      <c r="J738" s="119"/>
      <c r="K738" s="35"/>
    </row>
    <row r="739">
      <c r="B739" s="116"/>
      <c r="G739" s="117"/>
      <c r="H739" s="118"/>
      <c r="J739" s="119"/>
      <c r="K739" s="35"/>
    </row>
    <row r="740">
      <c r="B740" s="116"/>
      <c r="G740" s="117"/>
      <c r="H740" s="118"/>
      <c r="J740" s="119"/>
      <c r="K740" s="35"/>
    </row>
    <row r="741">
      <c r="B741" s="116"/>
      <c r="G741" s="117"/>
      <c r="H741" s="118"/>
      <c r="J741" s="119"/>
      <c r="K741" s="35"/>
    </row>
    <row r="742">
      <c r="B742" s="116"/>
      <c r="G742" s="117"/>
      <c r="H742" s="118"/>
      <c r="J742" s="119"/>
      <c r="K742" s="35"/>
    </row>
    <row r="743">
      <c r="B743" s="116"/>
      <c r="G743" s="117"/>
      <c r="H743" s="118"/>
      <c r="J743" s="119"/>
      <c r="K743" s="35"/>
    </row>
    <row r="744">
      <c r="B744" s="116"/>
      <c r="G744" s="117"/>
      <c r="H744" s="118"/>
      <c r="J744" s="119"/>
      <c r="K744" s="35"/>
    </row>
    <row r="745">
      <c r="B745" s="116"/>
      <c r="G745" s="117"/>
      <c r="H745" s="118"/>
      <c r="J745" s="119"/>
      <c r="K745" s="35"/>
    </row>
    <row r="746">
      <c r="B746" s="116"/>
      <c r="G746" s="117"/>
      <c r="H746" s="118"/>
      <c r="J746" s="119"/>
      <c r="K746" s="35"/>
    </row>
    <row r="747">
      <c r="B747" s="116"/>
      <c r="G747" s="117"/>
      <c r="H747" s="118"/>
      <c r="J747" s="119"/>
      <c r="K747" s="35"/>
    </row>
    <row r="748">
      <c r="B748" s="116"/>
      <c r="G748" s="117"/>
      <c r="H748" s="118"/>
      <c r="J748" s="119"/>
      <c r="K748" s="35"/>
    </row>
    <row r="749">
      <c r="B749" s="116"/>
      <c r="G749" s="117"/>
      <c r="H749" s="118"/>
      <c r="J749" s="119"/>
      <c r="K749" s="35"/>
    </row>
    <row r="750">
      <c r="B750" s="116"/>
      <c r="G750" s="117"/>
      <c r="H750" s="118"/>
      <c r="J750" s="119"/>
      <c r="K750" s="35"/>
    </row>
    <row r="751">
      <c r="B751" s="116"/>
      <c r="G751" s="117"/>
      <c r="H751" s="118"/>
      <c r="J751" s="119"/>
      <c r="K751" s="35"/>
    </row>
    <row r="752">
      <c r="B752" s="116"/>
      <c r="G752" s="117"/>
      <c r="H752" s="118"/>
      <c r="J752" s="119"/>
      <c r="K752" s="35"/>
    </row>
    <row r="753">
      <c r="B753" s="116"/>
      <c r="G753" s="117"/>
      <c r="H753" s="118"/>
      <c r="J753" s="119"/>
      <c r="K753" s="35"/>
    </row>
    <row r="754">
      <c r="B754" s="116"/>
      <c r="G754" s="117"/>
      <c r="H754" s="118"/>
      <c r="J754" s="119"/>
      <c r="K754" s="35"/>
    </row>
    <row r="755">
      <c r="B755" s="116"/>
      <c r="G755" s="117"/>
      <c r="H755" s="118"/>
      <c r="J755" s="119"/>
      <c r="K755" s="35"/>
    </row>
    <row r="756">
      <c r="B756" s="116"/>
      <c r="G756" s="117"/>
      <c r="H756" s="118"/>
      <c r="J756" s="119"/>
      <c r="K756" s="35"/>
    </row>
    <row r="757">
      <c r="B757" s="116"/>
      <c r="G757" s="117"/>
      <c r="H757" s="118"/>
      <c r="J757" s="119"/>
      <c r="K757" s="35"/>
    </row>
    <row r="758">
      <c r="B758" s="116"/>
      <c r="G758" s="117"/>
      <c r="H758" s="118"/>
      <c r="J758" s="119"/>
      <c r="K758" s="35"/>
    </row>
    <row r="759">
      <c r="B759" s="116"/>
      <c r="G759" s="117"/>
      <c r="H759" s="118"/>
      <c r="J759" s="119"/>
      <c r="K759" s="35"/>
    </row>
    <row r="760">
      <c r="B760" s="116"/>
      <c r="G760" s="117"/>
      <c r="H760" s="118"/>
      <c r="J760" s="119"/>
      <c r="K760" s="35"/>
    </row>
    <row r="761">
      <c r="B761" s="116"/>
      <c r="G761" s="117"/>
      <c r="H761" s="118"/>
      <c r="J761" s="119"/>
      <c r="K761" s="35"/>
    </row>
    <row r="762">
      <c r="B762" s="116"/>
      <c r="G762" s="117"/>
      <c r="H762" s="118"/>
      <c r="J762" s="119"/>
      <c r="K762" s="35"/>
    </row>
    <row r="763">
      <c r="B763" s="116"/>
      <c r="G763" s="117"/>
      <c r="H763" s="118"/>
      <c r="J763" s="119"/>
      <c r="K763" s="35"/>
    </row>
    <row r="764">
      <c r="B764" s="116"/>
      <c r="G764" s="117"/>
      <c r="H764" s="118"/>
      <c r="J764" s="119"/>
      <c r="K764" s="35"/>
    </row>
    <row r="765">
      <c r="B765" s="116"/>
      <c r="G765" s="117"/>
      <c r="H765" s="118"/>
      <c r="J765" s="119"/>
      <c r="K765" s="35"/>
    </row>
    <row r="766">
      <c r="B766" s="116"/>
      <c r="G766" s="117"/>
      <c r="H766" s="118"/>
      <c r="J766" s="119"/>
      <c r="K766" s="35"/>
    </row>
    <row r="767">
      <c r="B767" s="116"/>
      <c r="G767" s="117"/>
      <c r="H767" s="118"/>
      <c r="J767" s="119"/>
      <c r="K767" s="35"/>
    </row>
    <row r="768">
      <c r="B768" s="116"/>
      <c r="G768" s="117"/>
      <c r="H768" s="118"/>
      <c r="J768" s="119"/>
      <c r="K768" s="35"/>
    </row>
    <row r="769">
      <c r="B769" s="116"/>
      <c r="G769" s="117"/>
      <c r="H769" s="118"/>
      <c r="J769" s="119"/>
      <c r="K769" s="35"/>
    </row>
    <row r="770">
      <c r="B770" s="116"/>
      <c r="G770" s="117"/>
      <c r="H770" s="118"/>
      <c r="J770" s="119"/>
      <c r="K770" s="35"/>
    </row>
    <row r="771">
      <c r="B771" s="116"/>
      <c r="G771" s="117"/>
      <c r="H771" s="118"/>
      <c r="J771" s="119"/>
      <c r="K771" s="35"/>
    </row>
    <row r="772">
      <c r="B772" s="116"/>
      <c r="G772" s="117"/>
      <c r="H772" s="118"/>
      <c r="J772" s="119"/>
      <c r="K772" s="35"/>
    </row>
    <row r="773">
      <c r="B773" s="116"/>
      <c r="G773" s="117"/>
      <c r="H773" s="118"/>
      <c r="J773" s="119"/>
      <c r="K773" s="35"/>
    </row>
    <row r="774">
      <c r="B774" s="116"/>
      <c r="G774" s="117"/>
      <c r="H774" s="118"/>
      <c r="J774" s="119"/>
      <c r="K774" s="35"/>
    </row>
    <row r="775">
      <c r="B775" s="116"/>
      <c r="G775" s="117"/>
      <c r="H775" s="118"/>
      <c r="J775" s="119"/>
      <c r="K775" s="35"/>
    </row>
    <row r="776">
      <c r="B776" s="116"/>
      <c r="G776" s="117"/>
      <c r="H776" s="118"/>
      <c r="J776" s="119"/>
      <c r="K776" s="35"/>
    </row>
    <row r="777">
      <c r="B777" s="116"/>
      <c r="G777" s="117"/>
      <c r="H777" s="118"/>
      <c r="J777" s="119"/>
      <c r="K777" s="35"/>
    </row>
    <row r="778">
      <c r="B778" s="116"/>
      <c r="G778" s="117"/>
      <c r="H778" s="118"/>
      <c r="J778" s="119"/>
      <c r="K778" s="35"/>
    </row>
    <row r="779">
      <c r="B779" s="116"/>
      <c r="G779" s="117"/>
      <c r="H779" s="118"/>
      <c r="J779" s="119"/>
      <c r="K779" s="35"/>
    </row>
    <row r="780">
      <c r="B780" s="116"/>
      <c r="G780" s="117"/>
      <c r="H780" s="118"/>
      <c r="J780" s="119"/>
      <c r="K780" s="35"/>
    </row>
    <row r="781">
      <c r="B781" s="116"/>
      <c r="G781" s="117"/>
      <c r="H781" s="118"/>
      <c r="J781" s="119"/>
      <c r="K781" s="35"/>
    </row>
    <row r="782">
      <c r="B782" s="116"/>
      <c r="G782" s="117"/>
      <c r="H782" s="118"/>
      <c r="J782" s="119"/>
      <c r="K782" s="35"/>
    </row>
    <row r="783">
      <c r="B783" s="116"/>
      <c r="G783" s="117"/>
      <c r="H783" s="118"/>
      <c r="J783" s="119"/>
      <c r="K783" s="35"/>
    </row>
    <row r="784">
      <c r="B784" s="116"/>
      <c r="G784" s="117"/>
      <c r="H784" s="118"/>
      <c r="J784" s="119"/>
      <c r="K784" s="35"/>
    </row>
    <row r="785">
      <c r="B785" s="116"/>
      <c r="G785" s="117"/>
      <c r="H785" s="118"/>
      <c r="J785" s="119"/>
      <c r="K785" s="35"/>
    </row>
    <row r="786">
      <c r="B786" s="116"/>
      <c r="G786" s="117"/>
      <c r="H786" s="118"/>
      <c r="J786" s="119"/>
      <c r="K786" s="35"/>
    </row>
    <row r="787">
      <c r="B787" s="116"/>
      <c r="G787" s="117"/>
      <c r="H787" s="118"/>
      <c r="J787" s="119"/>
      <c r="K787" s="35"/>
    </row>
    <row r="788">
      <c r="B788" s="116"/>
      <c r="G788" s="117"/>
      <c r="H788" s="118"/>
      <c r="J788" s="119"/>
      <c r="K788" s="35"/>
    </row>
    <row r="789">
      <c r="B789" s="116"/>
      <c r="G789" s="117"/>
      <c r="H789" s="118"/>
      <c r="J789" s="119"/>
      <c r="K789" s="35"/>
    </row>
    <row r="790">
      <c r="B790" s="116"/>
      <c r="G790" s="117"/>
      <c r="H790" s="118"/>
      <c r="J790" s="119"/>
      <c r="K790" s="35"/>
    </row>
    <row r="791">
      <c r="B791" s="116"/>
      <c r="G791" s="117"/>
      <c r="H791" s="118"/>
      <c r="J791" s="119"/>
      <c r="K791" s="35"/>
    </row>
    <row r="792">
      <c r="B792" s="116"/>
      <c r="G792" s="117"/>
      <c r="H792" s="118"/>
      <c r="J792" s="119"/>
      <c r="K792" s="35"/>
    </row>
    <row r="793">
      <c r="B793" s="116"/>
      <c r="G793" s="117"/>
      <c r="H793" s="118"/>
      <c r="J793" s="119"/>
      <c r="K793" s="35"/>
    </row>
    <row r="794">
      <c r="B794" s="116"/>
      <c r="G794" s="117"/>
      <c r="H794" s="118"/>
      <c r="J794" s="119"/>
      <c r="K794" s="35"/>
    </row>
    <row r="795">
      <c r="B795" s="116"/>
      <c r="G795" s="117"/>
      <c r="H795" s="118"/>
      <c r="J795" s="119"/>
      <c r="K795" s="35"/>
    </row>
    <row r="796">
      <c r="B796" s="116"/>
      <c r="G796" s="117"/>
      <c r="H796" s="118"/>
      <c r="J796" s="119"/>
      <c r="K796" s="35"/>
    </row>
    <row r="797">
      <c r="B797" s="116"/>
      <c r="G797" s="117"/>
      <c r="H797" s="118"/>
      <c r="J797" s="119"/>
      <c r="K797" s="35"/>
    </row>
    <row r="798">
      <c r="B798" s="116"/>
      <c r="G798" s="117"/>
      <c r="H798" s="118"/>
      <c r="J798" s="119"/>
      <c r="K798" s="35"/>
    </row>
    <row r="799">
      <c r="B799" s="116"/>
      <c r="G799" s="117"/>
      <c r="H799" s="118"/>
      <c r="J799" s="119"/>
      <c r="K799" s="35"/>
    </row>
    <row r="800">
      <c r="B800" s="116"/>
      <c r="G800" s="117"/>
      <c r="H800" s="118"/>
      <c r="J800" s="119"/>
      <c r="K800" s="35"/>
    </row>
    <row r="801">
      <c r="B801" s="116"/>
      <c r="G801" s="117"/>
      <c r="H801" s="118"/>
      <c r="J801" s="119"/>
      <c r="K801" s="35"/>
    </row>
    <row r="802">
      <c r="B802" s="116"/>
      <c r="G802" s="117"/>
      <c r="H802" s="118"/>
      <c r="J802" s="119"/>
      <c r="K802" s="35"/>
    </row>
    <row r="803">
      <c r="B803" s="116"/>
      <c r="G803" s="117"/>
      <c r="H803" s="118"/>
      <c r="J803" s="119"/>
      <c r="K803" s="35"/>
    </row>
    <row r="804">
      <c r="B804" s="116"/>
      <c r="G804" s="117"/>
      <c r="H804" s="118"/>
      <c r="J804" s="119"/>
      <c r="K804" s="35"/>
    </row>
    <row r="805">
      <c r="B805" s="116"/>
      <c r="G805" s="117"/>
      <c r="H805" s="118"/>
      <c r="J805" s="119"/>
      <c r="K805" s="35"/>
    </row>
    <row r="806">
      <c r="B806" s="116"/>
      <c r="G806" s="117"/>
      <c r="H806" s="118"/>
      <c r="J806" s="119"/>
      <c r="K806" s="35"/>
    </row>
    <row r="807">
      <c r="B807" s="116"/>
      <c r="G807" s="117"/>
      <c r="H807" s="118"/>
      <c r="J807" s="119"/>
      <c r="K807" s="35"/>
    </row>
    <row r="808">
      <c r="B808" s="116"/>
      <c r="G808" s="117"/>
      <c r="H808" s="118"/>
      <c r="J808" s="119"/>
      <c r="K808" s="35"/>
    </row>
    <row r="809">
      <c r="B809" s="116"/>
      <c r="G809" s="117"/>
      <c r="H809" s="118"/>
      <c r="J809" s="119"/>
      <c r="K809" s="35"/>
    </row>
    <row r="810">
      <c r="B810" s="116"/>
      <c r="G810" s="117"/>
      <c r="H810" s="118"/>
      <c r="J810" s="119"/>
      <c r="K810" s="35"/>
    </row>
    <row r="811">
      <c r="B811" s="116"/>
      <c r="G811" s="117"/>
      <c r="H811" s="118"/>
      <c r="J811" s="119"/>
      <c r="K811" s="35"/>
    </row>
    <row r="812">
      <c r="B812" s="116"/>
      <c r="G812" s="117"/>
      <c r="H812" s="118"/>
      <c r="J812" s="119"/>
      <c r="K812" s="35"/>
    </row>
    <row r="813">
      <c r="B813" s="116"/>
      <c r="G813" s="117"/>
      <c r="H813" s="118"/>
      <c r="J813" s="119"/>
      <c r="K813" s="35"/>
    </row>
    <row r="814">
      <c r="B814" s="116"/>
      <c r="G814" s="117"/>
      <c r="H814" s="118"/>
      <c r="J814" s="119"/>
      <c r="K814" s="35"/>
    </row>
    <row r="815">
      <c r="B815" s="116"/>
      <c r="G815" s="117"/>
      <c r="H815" s="118"/>
      <c r="J815" s="119"/>
      <c r="K815" s="35"/>
    </row>
    <row r="816">
      <c r="B816" s="116"/>
      <c r="G816" s="117"/>
      <c r="H816" s="118"/>
      <c r="J816" s="119"/>
      <c r="K816" s="35"/>
    </row>
    <row r="817">
      <c r="B817" s="116"/>
      <c r="G817" s="117"/>
      <c r="H817" s="118"/>
      <c r="J817" s="119"/>
      <c r="K817" s="35"/>
    </row>
    <row r="818">
      <c r="B818" s="116"/>
      <c r="G818" s="117"/>
      <c r="H818" s="118"/>
      <c r="J818" s="119"/>
      <c r="K818" s="35"/>
    </row>
    <row r="819">
      <c r="B819" s="116"/>
      <c r="G819" s="117"/>
      <c r="H819" s="118"/>
      <c r="J819" s="119"/>
      <c r="K819" s="35"/>
    </row>
    <row r="820">
      <c r="B820" s="116"/>
      <c r="G820" s="117"/>
      <c r="H820" s="118"/>
      <c r="J820" s="119"/>
      <c r="K820" s="35"/>
    </row>
    <row r="821">
      <c r="B821" s="116"/>
      <c r="G821" s="117"/>
      <c r="H821" s="118"/>
      <c r="J821" s="119"/>
      <c r="K821" s="35"/>
    </row>
    <row r="822">
      <c r="B822" s="116"/>
      <c r="G822" s="117"/>
      <c r="H822" s="118"/>
      <c r="J822" s="119"/>
      <c r="K822" s="35"/>
    </row>
    <row r="823">
      <c r="B823" s="116"/>
      <c r="G823" s="117"/>
      <c r="H823" s="118"/>
      <c r="J823" s="119"/>
      <c r="K823" s="35"/>
    </row>
    <row r="824">
      <c r="B824" s="116"/>
      <c r="G824" s="117"/>
      <c r="H824" s="118"/>
      <c r="J824" s="119"/>
      <c r="K824" s="35"/>
    </row>
    <row r="825">
      <c r="B825" s="116"/>
      <c r="G825" s="117"/>
      <c r="H825" s="118"/>
      <c r="J825" s="119"/>
      <c r="K825" s="35"/>
    </row>
    <row r="826">
      <c r="B826" s="116"/>
      <c r="G826" s="117"/>
      <c r="H826" s="118"/>
      <c r="J826" s="119"/>
      <c r="K826" s="35"/>
    </row>
    <row r="827">
      <c r="B827" s="116"/>
      <c r="G827" s="117"/>
      <c r="H827" s="118"/>
      <c r="J827" s="119"/>
      <c r="K827" s="35"/>
    </row>
    <row r="828">
      <c r="B828" s="116"/>
      <c r="G828" s="117"/>
      <c r="H828" s="118"/>
      <c r="J828" s="119"/>
      <c r="K828" s="35"/>
    </row>
    <row r="829">
      <c r="B829" s="116"/>
      <c r="G829" s="117"/>
      <c r="H829" s="118"/>
      <c r="J829" s="119"/>
      <c r="K829" s="35"/>
    </row>
    <row r="830">
      <c r="B830" s="116"/>
      <c r="G830" s="117"/>
      <c r="H830" s="118"/>
      <c r="J830" s="119"/>
      <c r="K830" s="35"/>
    </row>
    <row r="831">
      <c r="B831" s="116"/>
      <c r="G831" s="117"/>
      <c r="H831" s="118"/>
      <c r="J831" s="119"/>
      <c r="K831" s="35"/>
    </row>
    <row r="832">
      <c r="B832" s="116"/>
      <c r="G832" s="117"/>
      <c r="H832" s="118"/>
      <c r="J832" s="119"/>
      <c r="K832" s="35"/>
    </row>
    <row r="833">
      <c r="B833" s="116"/>
      <c r="G833" s="117"/>
      <c r="H833" s="118"/>
      <c r="J833" s="119"/>
      <c r="K833" s="35"/>
    </row>
    <row r="834">
      <c r="B834" s="116"/>
      <c r="G834" s="117"/>
      <c r="H834" s="118"/>
      <c r="J834" s="119"/>
      <c r="K834" s="35"/>
    </row>
    <row r="835">
      <c r="B835" s="116"/>
      <c r="G835" s="117"/>
      <c r="H835" s="118"/>
      <c r="J835" s="119"/>
      <c r="K835" s="35"/>
    </row>
    <row r="836">
      <c r="B836" s="116"/>
      <c r="G836" s="117"/>
      <c r="H836" s="118"/>
      <c r="J836" s="119"/>
      <c r="K836" s="35"/>
    </row>
    <row r="837">
      <c r="B837" s="116"/>
      <c r="G837" s="117"/>
      <c r="H837" s="118"/>
      <c r="J837" s="119"/>
      <c r="K837" s="35"/>
    </row>
    <row r="838">
      <c r="B838" s="116"/>
      <c r="G838" s="117"/>
      <c r="H838" s="118"/>
      <c r="J838" s="119"/>
      <c r="K838" s="35"/>
    </row>
    <row r="839">
      <c r="B839" s="116"/>
      <c r="G839" s="117"/>
      <c r="H839" s="118"/>
      <c r="J839" s="119"/>
      <c r="K839" s="35"/>
    </row>
    <row r="840">
      <c r="B840" s="116"/>
      <c r="G840" s="117"/>
      <c r="H840" s="118"/>
      <c r="J840" s="119"/>
      <c r="K840" s="35"/>
    </row>
    <row r="841">
      <c r="B841" s="116"/>
      <c r="G841" s="117"/>
      <c r="H841" s="118"/>
      <c r="J841" s="119"/>
      <c r="K841" s="35"/>
    </row>
    <row r="842">
      <c r="B842" s="116"/>
      <c r="G842" s="117"/>
      <c r="H842" s="118"/>
      <c r="J842" s="119"/>
      <c r="K842" s="35"/>
    </row>
    <row r="843">
      <c r="B843" s="116"/>
      <c r="G843" s="117"/>
      <c r="H843" s="118"/>
      <c r="J843" s="119"/>
      <c r="K843" s="35"/>
    </row>
    <row r="844">
      <c r="B844" s="116"/>
      <c r="G844" s="117"/>
      <c r="H844" s="118"/>
      <c r="J844" s="119"/>
      <c r="K844" s="35"/>
    </row>
    <row r="845">
      <c r="B845" s="116"/>
      <c r="G845" s="117"/>
      <c r="H845" s="118"/>
      <c r="J845" s="119"/>
      <c r="K845" s="35"/>
    </row>
    <row r="846">
      <c r="B846" s="116"/>
      <c r="G846" s="117"/>
      <c r="H846" s="118"/>
      <c r="J846" s="119"/>
      <c r="K846" s="35"/>
    </row>
    <row r="847">
      <c r="B847" s="116"/>
      <c r="G847" s="117"/>
      <c r="H847" s="118"/>
      <c r="J847" s="119"/>
      <c r="K847" s="35"/>
    </row>
    <row r="848">
      <c r="B848" s="116"/>
      <c r="G848" s="117"/>
      <c r="H848" s="118"/>
      <c r="J848" s="119"/>
      <c r="K848" s="35"/>
    </row>
    <row r="849">
      <c r="B849" s="116"/>
      <c r="G849" s="117"/>
      <c r="H849" s="118"/>
      <c r="J849" s="119"/>
      <c r="K849" s="35"/>
    </row>
    <row r="850">
      <c r="B850" s="116"/>
      <c r="G850" s="117"/>
      <c r="H850" s="118"/>
      <c r="J850" s="119"/>
      <c r="K850" s="35"/>
    </row>
    <row r="851">
      <c r="B851" s="116"/>
      <c r="G851" s="117"/>
      <c r="H851" s="118"/>
      <c r="J851" s="119"/>
      <c r="K851" s="35"/>
    </row>
    <row r="852">
      <c r="B852" s="116"/>
      <c r="G852" s="117"/>
      <c r="H852" s="118"/>
      <c r="J852" s="119"/>
      <c r="K852" s="35"/>
    </row>
    <row r="853">
      <c r="B853" s="116"/>
      <c r="G853" s="117"/>
      <c r="H853" s="118"/>
      <c r="J853" s="119"/>
      <c r="K853" s="35"/>
    </row>
    <row r="854">
      <c r="B854" s="116"/>
      <c r="G854" s="117"/>
      <c r="H854" s="118"/>
      <c r="J854" s="119"/>
      <c r="K854" s="35"/>
    </row>
    <row r="855">
      <c r="B855" s="116"/>
      <c r="G855" s="117"/>
      <c r="H855" s="118"/>
      <c r="J855" s="119"/>
      <c r="K855" s="35"/>
    </row>
    <row r="856">
      <c r="B856" s="116"/>
      <c r="G856" s="117"/>
      <c r="H856" s="118"/>
      <c r="J856" s="119"/>
      <c r="K856" s="35"/>
    </row>
    <row r="857">
      <c r="B857" s="116"/>
      <c r="G857" s="117"/>
      <c r="H857" s="118"/>
      <c r="J857" s="119"/>
      <c r="K857" s="35"/>
    </row>
    <row r="858">
      <c r="B858" s="116"/>
      <c r="G858" s="117"/>
      <c r="H858" s="118"/>
      <c r="J858" s="119"/>
      <c r="K858" s="35"/>
    </row>
    <row r="859">
      <c r="B859" s="116"/>
      <c r="G859" s="117"/>
      <c r="H859" s="118"/>
      <c r="J859" s="119"/>
      <c r="K859" s="35"/>
    </row>
    <row r="860">
      <c r="B860" s="116"/>
      <c r="G860" s="117"/>
      <c r="H860" s="118"/>
      <c r="J860" s="119"/>
      <c r="K860" s="35"/>
    </row>
    <row r="861">
      <c r="B861" s="116"/>
      <c r="G861" s="117"/>
      <c r="H861" s="118"/>
      <c r="J861" s="119"/>
      <c r="K861" s="35"/>
    </row>
    <row r="862">
      <c r="B862" s="116"/>
      <c r="G862" s="117"/>
      <c r="H862" s="118"/>
      <c r="J862" s="119"/>
      <c r="K862" s="35"/>
    </row>
    <row r="863">
      <c r="B863" s="116"/>
      <c r="G863" s="117"/>
      <c r="H863" s="118"/>
      <c r="J863" s="119"/>
      <c r="K863" s="35"/>
    </row>
    <row r="864">
      <c r="B864" s="116"/>
      <c r="G864" s="117"/>
      <c r="H864" s="118"/>
      <c r="J864" s="119"/>
      <c r="K864" s="35"/>
    </row>
    <row r="865">
      <c r="B865" s="116"/>
      <c r="G865" s="117"/>
      <c r="H865" s="118"/>
      <c r="J865" s="119"/>
      <c r="K865" s="35"/>
    </row>
    <row r="866">
      <c r="B866" s="116"/>
      <c r="G866" s="117"/>
      <c r="H866" s="118"/>
      <c r="J866" s="119"/>
      <c r="K866" s="35"/>
    </row>
    <row r="867">
      <c r="B867" s="116"/>
      <c r="G867" s="117"/>
      <c r="H867" s="118"/>
      <c r="J867" s="119"/>
      <c r="K867" s="35"/>
    </row>
    <row r="868">
      <c r="B868" s="116"/>
      <c r="G868" s="117"/>
      <c r="H868" s="118"/>
      <c r="J868" s="119"/>
      <c r="K868" s="35"/>
    </row>
    <row r="869">
      <c r="B869" s="116"/>
      <c r="G869" s="117"/>
      <c r="H869" s="118"/>
      <c r="J869" s="119"/>
      <c r="K869" s="35"/>
    </row>
    <row r="870">
      <c r="B870" s="116"/>
      <c r="G870" s="117"/>
      <c r="H870" s="118"/>
      <c r="J870" s="119"/>
      <c r="K870" s="35"/>
    </row>
    <row r="871">
      <c r="B871" s="116"/>
      <c r="G871" s="117"/>
      <c r="H871" s="118"/>
      <c r="J871" s="119"/>
      <c r="K871" s="35"/>
    </row>
    <row r="872">
      <c r="B872" s="116"/>
      <c r="G872" s="117"/>
      <c r="H872" s="118"/>
      <c r="J872" s="119"/>
      <c r="K872" s="35"/>
    </row>
    <row r="873">
      <c r="B873" s="116"/>
      <c r="G873" s="117"/>
      <c r="H873" s="118"/>
      <c r="J873" s="119"/>
      <c r="K873" s="35"/>
    </row>
    <row r="874">
      <c r="B874" s="116"/>
      <c r="G874" s="117"/>
      <c r="H874" s="118"/>
      <c r="J874" s="119"/>
      <c r="K874" s="35"/>
    </row>
    <row r="875">
      <c r="B875" s="116"/>
      <c r="G875" s="117"/>
      <c r="H875" s="118"/>
      <c r="J875" s="119"/>
      <c r="K875" s="35"/>
    </row>
    <row r="876">
      <c r="B876" s="116"/>
      <c r="G876" s="117"/>
      <c r="H876" s="118"/>
      <c r="J876" s="119"/>
      <c r="K876" s="35"/>
    </row>
    <row r="877">
      <c r="B877" s="116"/>
      <c r="G877" s="117"/>
      <c r="H877" s="118"/>
      <c r="J877" s="119"/>
      <c r="K877" s="35"/>
    </row>
    <row r="878">
      <c r="B878" s="116"/>
      <c r="G878" s="117"/>
      <c r="H878" s="118"/>
      <c r="J878" s="119"/>
      <c r="K878" s="35"/>
    </row>
    <row r="879">
      <c r="B879" s="116"/>
      <c r="G879" s="117"/>
      <c r="H879" s="118"/>
      <c r="J879" s="119"/>
      <c r="K879" s="35"/>
    </row>
    <row r="880">
      <c r="B880" s="116"/>
      <c r="G880" s="117"/>
      <c r="H880" s="118"/>
      <c r="J880" s="119"/>
      <c r="K880" s="35"/>
    </row>
    <row r="881">
      <c r="B881" s="116"/>
      <c r="G881" s="117"/>
      <c r="H881" s="118"/>
      <c r="J881" s="119"/>
      <c r="K881" s="35"/>
    </row>
    <row r="882">
      <c r="B882" s="116"/>
      <c r="G882" s="117"/>
      <c r="H882" s="118"/>
      <c r="J882" s="119"/>
      <c r="K882" s="35"/>
    </row>
    <row r="883">
      <c r="B883" s="116"/>
      <c r="G883" s="117"/>
      <c r="H883" s="118"/>
      <c r="J883" s="119"/>
      <c r="K883" s="35"/>
    </row>
    <row r="884">
      <c r="B884" s="116"/>
      <c r="G884" s="117"/>
      <c r="H884" s="118"/>
      <c r="J884" s="119"/>
      <c r="K884" s="35"/>
    </row>
    <row r="885">
      <c r="B885" s="116"/>
      <c r="G885" s="117"/>
      <c r="H885" s="118"/>
      <c r="J885" s="119"/>
      <c r="K885" s="35"/>
    </row>
    <row r="886">
      <c r="B886" s="116"/>
      <c r="G886" s="117"/>
      <c r="H886" s="118"/>
      <c r="J886" s="119"/>
      <c r="K886" s="35"/>
    </row>
    <row r="887">
      <c r="B887" s="116"/>
      <c r="G887" s="117"/>
      <c r="H887" s="118"/>
      <c r="J887" s="119"/>
      <c r="K887" s="35"/>
    </row>
    <row r="888">
      <c r="B888" s="116"/>
      <c r="G888" s="117"/>
      <c r="H888" s="118"/>
      <c r="J888" s="119"/>
      <c r="K888" s="35"/>
    </row>
    <row r="889">
      <c r="B889" s="116"/>
      <c r="G889" s="117"/>
      <c r="H889" s="118"/>
      <c r="J889" s="119"/>
      <c r="K889" s="35"/>
    </row>
    <row r="890">
      <c r="B890" s="116"/>
      <c r="G890" s="117"/>
      <c r="H890" s="118"/>
      <c r="J890" s="119"/>
      <c r="K890" s="35"/>
    </row>
    <row r="891">
      <c r="B891" s="116"/>
      <c r="G891" s="117"/>
      <c r="H891" s="118"/>
      <c r="J891" s="119"/>
      <c r="K891" s="35"/>
    </row>
    <row r="892">
      <c r="B892" s="116"/>
      <c r="G892" s="117"/>
      <c r="H892" s="118"/>
      <c r="J892" s="119"/>
      <c r="K892" s="35"/>
    </row>
    <row r="893">
      <c r="B893" s="116"/>
      <c r="G893" s="117"/>
      <c r="H893" s="118"/>
      <c r="J893" s="119"/>
      <c r="K893" s="35"/>
    </row>
    <row r="894">
      <c r="B894" s="116"/>
      <c r="G894" s="117"/>
      <c r="H894" s="118"/>
      <c r="J894" s="119"/>
      <c r="K894" s="35"/>
    </row>
    <row r="895">
      <c r="B895" s="116"/>
      <c r="G895" s="117"/>
      <c r="H895" s="118"/>
      <c r="J895" s="119"/>
      <c r="K895" s="35"/>
    </row>
    <row r="896">
      <c r="B896" s="116"/>
      <c r="G896" s="117"/>
      <c r="H896" s="118"/>
      <c r="J896" s="119"/>
      <c r="K896" s="35"/>
    </row>
    <row r="897">
      <c r="B897" s="116"/>
      <c r="G897" s="117"/>
      <c r="H897" s="118"/>
      <c r="J897" s="119"/>
      <c r="K897" s="35"/>
    </row>
    <row r="898">
      <c r="B898" s="116"/>
      <c r="G898" s="117"/>
      <c r="H898" s="118"/>
      <c r="J898" s="119"/>
      <c r="K898" s="35"/>
    </row>
    <row r="899">
      <c r="B899" s="116"/>
      <c r="G899" s="117"/>
      <c r="H899" s="118"/>
      <c r="J899" s="119"/>
      <c r="K899" s="35"/>
    </row>
    <row r="900">
      <c r="B900" s="116"/>
      <c r="G900" s="117"/>
      <c r="H900" s="118"/>
      <c r="J900" s="119"/>
      <c r="K900" s="35"/>
    </row>
    <row r="901">
      <c r="B901" s="116"/>
      <c r="G901" s="117"/>
      <c r="H901" s="118"/>
      <c r="J901" s="119"/>
      <c r="K901" s="35"/>
    </row>
    <row r="902">
      <c r="B902" s="116"/>
      <c r="G902" s="117"/>
      <c r="H902" s="118"/>
      <c r="J902" s="119"/>
      <c r="K902" s="35"/>
    </row>
    <row r="903">
      <c r="B903" s="116"/>
      <c r="G903" s="117"/>
      <c r="H903" s="118"/>
      <c r="J903" s="119"/>
      <c r="K903" s="35"/>
    </row>
    <row r="904">
      <c r="B904" s="116"/>
      <c r="G904" s="117"/>
      <c r="H904" s="118"/>
      <c r="J904" s="119"/>
      <c r="K904" s="35"/>
    </row>
    <row r="905">
      <c r="B905" s="116"/>
      <c r="G905" s="117"/>
      <c r="H905" s="118"/>
      <c r="J905" s="119"/>
      <c r="K905" s="35"/>
    </row>
    <row r="906">
      <c r="B906" s="116"/>
      <c r="G906" s="117"/>
      <c r="H906" s="118"/>
      <c r="J906" s="119"/>
      <c r="K906" s="35"/>
    </row>
    <row r="907">
      <c r="B907" s="116"/>
      <c r="G907" s="117"/>
      <c r="H907" s="118"/>
      <c r="J907" s="119"/>
      <c r="K907" s="35"/>
    </row>
    <row r="908">
      <c r="B908" s="116"/>
      <c r="G908" s="117"/>
      <c r="H908" s="118"/>
      <c r="J908" s="119"/>
      <c r="K908" s="35"/>
    </row>
    <row r="909">
      <c r="B909" s="116"/>
      <c r="G909" s="117"/>
      <c r="H909" s="118"/>
      <c r="J909" s="119"/>
      <c r="K909" s="35"/>
    </row>
    <row r="910">
      <c r="B910" s="116"/>
      <c r="G910" s="117"/>
      <c r="H910" s="118"/>
      <c r="J910" s="119"/>
      <c r="K910" s="35"/>
    </row>
    <row r="911">
      <c r="B911" s="116"/>
      <c r="G911" s="117"/>
      <c r="H911" s="118"/>
      <c r="J911" s="119"/>
      <c r="K911" s="35"/>
    </row>
    <row r="912">
      <c r="B912" s="116"/>
      <c r="G912" s="117"/>
      <c r="H912" s="118"/>
      <c r="J912" s="119"/>
      <c r="K912" s="35"/>
    </row>
    <row r="913">
      <c r="B913" s="116"/>
      <c r="G913" s="117"/>
      <c r="H913" s="118"/>
      <c r="J913" s="119"/>
      <c r="K913" s="35"/>
    </row>
    <row r="914">
      <c r="B914" s="116"/>
      <c r="G914" s="117"/>
      <c r="H914" s="118"/>
      <c r="J914" s="119"/>
      <c r="K914" s="35"/>
    </row>
    <row r="915">
      <c r="B915" s="116"/>
      <c r="G915" s="117"/>
      <c r="H915" s="118"/>
      <c r="J915" s="119"/>
      <c r="K915" s="35"/>
    </row>
    <row r="916">
      <c r="B916" s="116"/>
      <c r="G916" s="117"/>
      <c r="H916" s="118"/>
      <c r="J916" s="119"/>
      <c r="K916" s="35"/>
    </row>
    <row r="917">
      <c r="B917" s="116"/>
      <c r="G917" s="117"/>
      <c r="H917" s="118"/>
      <c r="J917" s="119"/>
      <c r="K917" s="35"/>
    </row>
    <row r="918">
      <c r="B918" s="116"/>
      <c r="G918" s="117"/>
      <c r="H918" s="118"/>
      <c r="J918" s="119"/>
      <c r="K918" s="35"/>
    </row>
    <row r="919">
      <c r="B919" s="116"/>
      <c r="G919" s="117"/>
      <c r="H919" s="118"/>
      <c r="J919" s="119"/>
      <c r="K919" s="35"/>
    </row>
    <row r="920">
      <c r="B920" s="116"/>
      <c r="G920" s="117"/>
      <c r="H920" s="118"/>
      <c r="J920" s="119"/>
      <c r="K920" s="35"/>
    </row>
    <row r="921">
      <c r="B921" s="116"/>
      <c r="G921" s="117"/>
      <c r="H921" s="118"/>
      <c r="J921" s="119"/>
      <c r="K921" s="35"/>
    </row>
    <row r="922">
      <c r="B922" s="116"/>
      <c r="G922" s="117"/>
      <c r="H922" s="118"/>
      <c r="J922" s="119"/>
      <c r="K922" s="35"/>
    </row>
    <row r="923">
      <c r="B923" s="116"/>
      <c r="G923" s="117"/>
      <c r="H923" s="118"/>
      <c r="J923" s="119"/>
      <c r="K923" s="35"/>
    </row>
    <row r="924">
      <c r="B924" s="116"/>
      <c r="G924" s="117"/>
      <c r="H924" s="118"/>
      <c r="J924" s="119"/>
      <c r="K924" s="35"/>
    </row>
    <row r="925">
      <c r="B925" s="116"/>
      <c r="G925" s="117"/>
      <c r="H925" s="118"/>
      <c r="J925" s="119"/>
      <c r="K925" s="35"/>
    </row>
    <row r="926">
      <c r="B926" s="116"/>
      <c r="G926" s="117"/>
      <c r="H926" s="118"/>
      <c r="J926" s="119"/>
      <c r="K926" s="35"/>
    </row>
    <row r="927">
      <c r="B927" s="116"/>
      <c r="G927" s="117"/>
      <c r="H927" s="118"/>
      <c r="J927" s="119"/>
      <c r="K927" s="35"/>
    </row>
    <row r="928">
      <c r="B928" s="116"/>
      <c r="G928" s="117"/>
      <c r="H928" s="118"/>
      <c r="J928" s="119"/>
      <c r="K928" s="35"/>
    </row>
    <row r="929">
      <c r="B929" s="116"/>
      <c r="G929" s="117"/>
      <c r="H929" s="118"/>
      <c r="J929" s="119"/>
      <c r="K929" s="35"/>
    </row>
    <row r="930">
      <c r="B930" s="116"/>
      <c r="G930" s="117"/>
      <c r="H930" s="118"/>
      <c r="J930" s="119"/>
      <c r="K930" s="35"/>
    </row>
    <row r="931">
      <c r="B931" s="116"/>
      <c r="G931" s="117"/>
      <c r="H931" s="118"/>
      <c r="J931" s="119"/>
      <c r="K931" s="35"/>
    </row>
    <row r="932">
      <c r="B932" s="116"/>
      <c r="G932" s="117"/>
      <c r="H932" s="118"/>
      <c r="J932" s="119"/>
      <c r="K932" s="35"/>
    </row>
    <row r="933">
      <c r="B933" s="116"/>
      <c r="G933" s="117"/>
      <c r="H933" s="118"/>
      <c r="J933" s="119"/>
      <c r="K933" s="35"/>
    </row>
    <row r="934">
      <c r="B934" s="116"/>
      <c r="G934" s="117"/>
      <c r="H934" s="118"/>
      <c r="J934" s="119"/>
      <c r="K934" s="35"/>
    </row>
    <row r="935">
      <c r="B935" s="116"/>
      <c r="G935" s="117"/>
      <c r="H935" s="118"/>
      <c r="J935" s="119"/>
      <c r="K935" s="35"/>
    </row>
    <row r="936">
      <c r="B936" s="116"/>
      <c r="G936" s="117"/>
      <c r="H936" s="118"/>
      <c r="J936" s="119"/>
      <c r="K936" s="35"/>
    </row>
    <row r="937">
      <c r="B937" s="116"/>
      <c r="G937" s="117"/>
      <c r="H937" s="118"/>
      <c r="J937" s="119"/>
      <c r="K937" s="35"/>
    </row>
    <row r="938">
      <c r="B938" s="116"/>
      <c r="G938" s="117"/>
      <c r="H938" s="118"/>
      <c r="J938" s="119"/>
      <c r="K938" s="35"/>
    </row>
    <row r="939">
      <c r="B939" s="116"/>
      <c r="G939" s="117"/>
      <c r="H939" s="118"/>
      <c r="J939" s="119"/>
      <c r="K939" s="35"/>
    </row>
    <row r="940">
      <c r="B940" s="116"/>
      <c r="G940" s="117"/>
      <c r="H940" s="118"/>
      <c r="J940" s="119"/>
      <c r="K940" s="35"/>
    </row>
    <row r="941">
      <c r="B941" s="116"/>
      <c r="G941" s="117"/>
      <c r="H941" s="118"/>
      <c r="J941" s="119"/>
      <c r="K941" s="35"/>
    </row>
    <row r="942">
      <c r="B942" s="116"/>
      <c r="G942" s="117"/>
      <c r="H942" s="118"/>
      <c r="J942" s="119"/>
      <c r="K942" s="35"/>
    </row>
    <row r="943">
      <c r="B943" s="116"/>
      <c r="G943" s="117"/>
      <c r="H943" s="118"/>
      <c r="J943" s="119"/>
      <c r="K943" s="35"/>
    </row>
    <row r="944">
      <c r="B944" s="116"/>
      <c r="G944" s="117"/>
      <c r="H944" s="118"/>
      <c r="J944" s="119"/>
      <c r="K944" s="35"/>
    </row>
    <row r="945">
      <c r="B945" s="116"/>
      <c r="G945" s="117"/>
      <c r="H945" s="118"/>
      <c r="J945" s="119"/>
      <c r="K945" s="35"/>
    </row>
    <row r="946">
      <c r="B946" s="116"/>
      <c r="G946" s="117"/>
      <c r="H946" s="118"/>
      <c r="J946" s="119"/>
      <c r="K946" s="35"/>
    </row>
    <row r="947">
      <c r="B947" s="116"/>
      <c r="G947" s="117"/>
      <c r="H947" s="118"/>
      <c r="J947" s="119"/>
      <c r="K947" s="35"/>
    </row>
    <row r="948">
      <c r="B948" s="116"/>
      <c r="G948" s="117"/>
      <c r="H948" s="118"/>
      <c r="J948" s="119"/>
      <c r="K948" s="35"/>
    </row>
    <row r="949">
      <c r="B949" s="116"/>
      <c r="G949" s="117"/>
      <c r="H949" s="118"/>
      <c r="J949" s="119"/>
      <c r="K949" s="35"/>
    </row>
    <row r="950">
      <c r="B950" s="116"/>
      <c r="G950" s="117"/>
      <c r="H950" s="118"/>
      <c r="J950" s="119"/>
      <c r="K950" s="35"/>
    </row>
    <row r="951">
      <c r="B951" s="116"/>
      <c r="G951" s="117"/>
      <c r="H951" s="118"/>
      <c r="J951" s="119"/>
      <c r="K951" s="35"/>
    </row>
    <row r="952">
      <c r="B952" s="116"/>
      <c r="G952" s="117"/>
      <c r="H952" s="118"/>
      <c r="J952" s="119"/>
      <c r="K952" s="35"/>
    </row>
    <row r="953">
      <c r="B953" s="116"/>
      <c r="G953" s="117"/>
      <c r="H953" s="118"/>
      <c r="J953" s="119"/>
      <c r="K953" s="35"/>
    </row>
    <row r="954">
      <c r="B954" s="116"/>
      <c r="G954" s="117"/>
      <c r="H954" s="118"/>
      <c r="J954" s="119"/>
      <c r="K954" s="35"/>
    </row>
    <row r="955">
      <c r="B955" s="116"/>
      <c r="G955" s="117"/>
      <c r="H955" s="118"/>
      <c r="J955" s="119"/>
      <c r="K955" s="35"/>
    </row>
    <row r="956">
      <c r="B956" s="116"/>
      <c r="G956" s="117"/>
      <c r="H956" s="118"/>
      <c r="J956" s="119"/>
      <c r="K956" s="35"/>
    </row>
    <row r="957">
      <c r="B957" s="116"/>
      <c r="G957" s="117"/>
      <c r="H957" s="118"/>
      <c r="J957" s="119"/>
      <c r="K957" s="35"/>
    </row>
    <row r="958">
      <c r="B958" s="116"/>
      <c r="G958" s="117"/>
      <c r="H958" s="118"/>
      <c r="J958" s="119"/>
      <c r="K958" s="35"/>
    </row>
    <row r="959">
      <c r="B959" s="116"/>
      <c r="G959" s="117"/>
      <c r="H959" s="118"/>
      <c r="J959" s="119"/>
      <c r="K959" s="35"/>
    </row>
    <row r="960">
      <c r="B960" s="116"/>
      <c r="G960" s="117"/>
      <c r="H960" s="118"/>
      <c r="J960" s="119"/>
      <c r="K960" s="35"/>
    </row>
    <row r="961">
      <c r="B961" s="116"/>
      <c r="G961" s="117"/>
      <c r="H961" s="118"/>
      <c r="J961" s="119"/>
      <c r="K961" s="35"/>
    </row>
    <row r="962">
      <c r="B962" s="116"/>
      <c r="G962" s="117"/>
      <c r="H962" s="118"/>
      <c r="J962" s="119"/>
      <c r="K962" s="35"/>
    </row>
    <row r="963">
      <c r="B963" s="116"/>
      <c r="G963" s="117"/>
      <c r="H963" s="118"/>
      <c r="J963" s="119"/>
      <c r="K963" s="35"/>
    </row>
    <row r="964">
      <c r="B964" s="116"/>
      <c r="G964" s="117"/>
      <c r="H964" s="118"/>
      <c r="J964" s="119"/>
      <c r="K964" s="35"/>
    </row>
    <row r="965">
      <c r="B965" s="116"/>
      <c r="G965" s="117"/>
      <c r="H965" s="118"/>
      <c r="J965" s="119"/>
      <c r="K965" s="35"/>
    </row>
    <row r="966">
      <c r="B966" s="116"/>
      <c r="G966" s="117"/>
      <c r="H966" s="118"/>
      <c r="J966" s="119"/>
      <c r="K966" s="35"/>
    </row>
    <row r="967">
      <c r="B967" s="116"/>
      <c r="G967" s="117"/>
      <c r="H967" s="118"/>
      <c r="J967" s="119"/>
      <c r="K967" s="35"/>
    </row>
    <row r="968">
      <c r="B968" s="116"/>
      <c r="G968" s="117"/>
      <c r="H968" s="118"/>
      <c r="J968" s="119"/>
      <c r="K968" s="35"/>
    </row>
    <row r="969">
      <c r="B969" s="116"/>
      <c r="G969" s="117"/>
      <c r="H969" s="118"/>
      <c r="J969" s="119"/>
      <c r="K969" s="35"/>
    </row>
    <row r="970">
      <c r="B970" s="116"/>
      <c r="G970" s="117"/>
      <c r="H970" s="118"/>
      <c r="J970" s="119"/>
      <c r="K970" s="35"/>
    </row>
    <row r="971">
      <c r="B971" s="116"/>
      <c r="G971" s="117"/>
      <c r="H971" s="118"/>
      <c r="J971" s="119"/>
      <c r="K971" s="35"/>
    </row>
    <row r="972">
      <c r="B972" s="116"/>
      <c r="G972" s="117"/>
      <c r="H972" s="118"/>
      <c r="J972" s="119"/>
      <c r="K972" s="35"/>
    </row>
    <row r="973">
      <c r="B973" s="116"/>
      <c r="G973" s="117"/>
      <c r="H973" s="118"/>
      <c r="J973" s="119"/>
      <c r="K973" s="35"/>
    </row>
    <row r="974">
      <c r="B974" s="116"/>
      <c r="G974" s="117"/>
      <c r="H974" s="118"/>
      <c r="J974" s="119"/>
      <c r="K974" s="35"/>
    </row>
    <row r="975">
      <c r="B975" s="116"/>
      <c r="G975" s="117"/>
      <c r="H975" s="118"/>
      <c r="J975" s="119"/>
      <c r="K975" s="35"/>
    </row>
    <row r="976">
      <c r="B976" s="116"/>
      <c r="G976" s="117"/>
      <c r="H976" s="118"/>
      <c r="J976" s="119"/>
      <c r="K976" s="35"/>
    </row>
    <row r="977">
      <c r="B977" s="116"/>
      <c r="G977" s="117"/>
      <c r="H977" s="118"/>
      <c r="J977" s="119"/>
      <c r="K977" s="35"/>
    </row>
    <row r="978">
      <c r="B978" s="116"/>
      <c r="G978" s="117"/>
      <c r="H978" s="118"/>
      <c r="J978" s="119"/>
      <c r="K978" s="35"/>
    </row>
    <row r="979">
      <c r="B979" s="116"/>
      <c r="G979" s="117"/>
      <c r="H979" s="118"/>
      <c r="J979" s="119"/>
      <c r="K979" s="35"/>
    </row>
    <row r="980">
      <c r="B980" s="116"/>
      <c r="G980" s="117"/>
      <c r="H980" s="118"/>
      <c r="J980" s="119"/>
      <c r="K980" s="35"/>
    </row>
    <row r="981">
      <c r="B981" s="116"/>
      <c r="G981" s="117"/>
      <c r="H981" s="118"/>
      <c r="J981" s="119"/>
      <c r="K981" s="35"/>
    </row>
    <row r="982">
      <c r="B982" s="116"/>
      <c r="G982" s="117"/>
      <c r="H982" s="118"/>
      <c r="J982" s="119"/>
      <c r="K982" s="35"/>
    </row>
    <row r="983">
      <c r="B983" s="116"/>
      <c r="G983" s="117"/>
      <c r="H983" s="118"/>
      <c r="J983" s="119"/>
      <c r="K983" s="35"/>
    </row>
    <row r="984">
      <c r="B984" s="116"/>
      <c r="G984" s="117"/>
      <c r="H984" s="118"/>
      <c r="J984" s="119"/>
      <c r="K984" s="35"/>
    </row>
    <row r="985">
      <c r="B985" s="116"/>
      <c r="G985" s="117"/>
      <c r="H985" s="118"/>
      <c r="J985" s="119"/>
      <c r="K985" s="35"/>
    </row>
    <row r="986">
      <c r="B986" s="116"/>
      <c r="G986" s="117"/>
      <c r="H986" s="118"/>
      <c r="J986" s="119"/>
      <c r="K986" s="35"/>
    </row>
    <row r="987">
      <c r="B987" s="116"/>
      <c r="G987" s="117"/>
      <c r="H987" s="118"/>
      <c r="J987" s="119"/>
      <c r="K987" s="35"/>
    </row>
    <row r="988">
      <c r="B988" s="116"/>
      <c r="G988" s="117"/>
      <c r="H988" s="118"/>
      <c r="J988" s="119"/>
      <c r="K988" s="35"/>
    </row>
    <row r="989">
      <c r="B989" s="116"/>
      <c r="G989" s="117"/>
      <c r="H989" s="118"/>
      <c r="J989" s="119"/>
      <c r="K989" s="35"/>
    </row>
    <row r="990">
      <c r="B990" s="116"/>
      <c r="G990" s="117"/>
      <c r="H990" s="118"/>
      <c r="J990" s="119"/>
      <c r="K990" s="35"/>
    </row>
    <row r="991">
      <c r="B991" s="116"/>
      <c r="G991" s="117"/>
      <c r="H991" s="118"/>
      <c r="J991" s="119"/>
      <c r="K991" s="35"/>
    </row>
    <row r="992">
      <c r="B992" s="116"/>
      <c r="G992" s="117"/>
      <c r="H992" s="118"/>
      <c r="J992" s="119"/>
      <c r="K992" s="35"/>
    </row>
    <row r="993">
      <c r="B993" s="116"/>
      <c r="G993" s="117"/>
      <c r="H993" s="118"/>
      <c r="J993" s="119"/>
      <c r="K993" s="35"/>
    </row>
    <row r="994">
      <c r="B994" s="116"/>
      <c r="G994" s="117"/>
      <c r="H994" s="118"/>
      <c r="J994" s="119"/>
      <c r="K994" s="35"/>
    </row>
    <row r="995">
      <c r="B995" s="116"/>
      <c r="G995" s="117"/>
      <c r="H995" s="118"/>
      <c r="J995" s="119"/>
      <c r="K995" s="35"/>
    </row>
    <row r="996">
      <c r="B996" s="116"/>
      <c r="G996" s="117"/>
      <c r="H996" s="118"/>
      <c r="J996" s="119"/>
      <c r="K996" s="35"/>
    </row>
    <row r="997">
      <c r="B997" s="116"/>
      <c r="G997" s="117"/>
      <c r="H997" s="118"/>
      <c r="J997" s="119"/>
      <c r="K997" s="35"/>
    </row>
    <row r="998">
      <c r="B998" s="116"/>
      <c r="G998" s="117"/>
      <c r="H998" s="118"/>
      <c r="J998" s="119"/>
      <c r="K998" s="35"/>
    </row>
    <row r="999">
      <c r="B999" s="116"/>
      <c r="G999" s="117"/>
      <c r="H999" s="118"/>
      <c r="J999" s="119"/>
      <c r="K999" s="35"/>
    </row>
    <row r="1000">
      <c r="B1000" s="116"/>
      <c r="G1000" s="117"/>
      <c r="H1000" s="118"/>
      <c r="J1000" s="119"/>
      <c r="K1000" s="35"/>
    </row>
    <row r="1001">
      <c r="B1001" s="116"/>
      <c r="G1001" s="117"/>
      <c r="H1001" s="118"/>
      <c r="J1001" s="119"/>
      <c r="K1001" s="35"/>
    </row>
    <row r="1002">
      <c r="B1002" s="116"/>
      <c r="G1002" s="117"/>
      <c r="H1002" s="118"/>
      <c r="J1002" s="119"/>
      <c r="K1002" s="35"/>
    </row>
    <row r="1003">
      <c r="B1003" s="116"/>
      <c r="G1003" s="117"/>
      <c r="H1003" s="118"/>
      <c r="J1003" s="119"/>
      <c r="K1003" s="35"/>
    </row>
    <row r="1004">
      <c r="B1004" s="116"/>
      <c r="G1004" s="117"/>
      <c r="H1004" s="118"/>
      <c r="J1004" s="119"/>
      <c r="K1004" s="35"/>
    </row>
    <row r="1005">
      <c r="B1005" s="116"/>
      <c r="G1005" s="117"/>
      <c r="H1005" s="118"/>
      <c r="J1005" s="119"/>
      <c r="K1005" s="35"/>
    </row>
    <row r="1006">
      <c r="B1006" s="116"/>
      <c r="G1006" s="117"/>
      <c r="H1006" s="118"/>
      <c r="J1006" s="119"/>
      <c r="K1006" s="35"/>
    </row>
    <row r="1007">
      <c r="B1007" s="116"/>
      <c r="G1007" s="117"/>
      <c r="H1007" s="118"/>
      <c r="J1007" s="119"/>
      <c r="K1007" s="35"/>
    </row>
    <row r="1008">
      <c r="B1008" s="116"/>
      <c r="G1008" s="117"/>
      <c r="H1008" s="118"/>
      <c r="J1008" s="119"/>
      <c r="K1008" s="35"/>
    </row>
    <row r="1009">
      <c r="B1009" s="116"/>
      <c r="G1009" s="117"/>
      <c r="H1009" s="118"/>
      <c r="J1009" s="119"/>
      <c r="K1009" s="35"/>
    </row>
    <row r="1010">
      <c r="B1010" s="116"/>
      <c r="G1010" s="117"/>
      <c r="H1010" s="118"/>
      <c r="J1010" s="119"/>
      <c r="K1010" s="35"/>
    </row>
    <row r="1011">
      <c r="B1011" s="116"/>
      <c r="G1011" s="117"/>
      <c r="H1011" s="118"/>
      <c r="J1011" s="119"/>
      <c r="K1011" s="35"/>
    </row>
    <row r="1012">
      <c r="B1012" s="116"/>
      <c r="G1012" s="117"/>
      <c r="H1012" s="118"/>
      <c r="J1012" s="119"/>
      <c r="K1012" s="35"/>
    </row>
    <row r="1013">
      <c r="B1013" s="116"/>
      <c r="G1013" s="117"/>
      <c r="H1013" s="118"/>
      <c r="J1013" s="119"/>
      <c r="K1013" s="35"/>
    </row>
    <row r="1014">
      <c r="B1014" s="116"/>
      <c r="G1014" s="117"/>
      <c r="H1014" s="118"/>
      <c r="J1014" s="119"/>
      <c r="K1014" s="35"/>
    </row>
    <row r="1015">
      <c r="B1015" s="116"/>
      <c r="G1015" s="117"/>
      <c r="H1015" s="118"/>
      <c r="J1015" s="119"/>
      <c r="K1015" s="35"/>
    </row>
    <row r="1016">
      <c r="B1016" s="116"/>
      <c r="G1016" s="117"/>
      <c r="H1016" s="118"/>
      <c r="J1016" s="119"/>
      <c r="K1016" s="35"/>
    </row>
    <row r="1017">
      <c r="B1017" s="116"/>
      <c r="G1017" s="117"/>
      <c r="H1017" s="118"/>
      <c r="J1017" s="119"/>
      <c r="K1017" s="35"/>
    </row>
    <row r="1018">
      <c r="B1018" s="116"/>
      <c r="G1018" s="117"/>
      <c r="H1018" s="118"/>
      <c r="J1018" s="119"/>
      <c r="K1018" s="35"/>
    </row>
    <row r="1019">
      <c r="B1019" s="116"/>
      <c r="G1019" s="117"/>
      <c r="H1019" s="118"/>
      <c r="J1019" s="119"/>
      <c r="K1019" s="35"/>
    </row>
    <row r="1020">
      <c r="B1020" s="116"/>
      <c r="G1020" s="117"/>
      <c r="H1020" s="118"/>
      <c r="J1020" s="119"/>
      <c r="K1020" s="35"/>
    </row>
    <row r="1021">
      <c r="B1021" s="116"/>
      <c r="G1021" s="117"/>
      <c r="H1021" s="118"/>
      <c r="J1021" s="119"/>
      <c r="K1021" s="35"/>
    </row>
    <row r="1022">
      <c r="B1022" s="116"/>
      <c r="G1022" s="117"/>
      <c r="H1022" s="118"/>
      <c r="J1022" s="119"/>
      <c r="K1022" s="35"/>
    </row>
    <row r="1023">
      <c r="B1023" s="116"/>
      <c r="G1023" s="117"/>
      <c r="H1023" s="118"/>
      <c r="J1023" s="119"/>
      <c r="K1023" s="35"/>
    </row>
    <row r="1024">
      <c r="B1024" s="116"/>
      <c r="G1024" s="117"/>
      <c r="H1024" s="118"/>
      <c r="J1024" s="119"/>
      <c r="K1024" s="35"/>
    </row>
    <row r="1025">
      <c r="B1025" s="116"/>
      <c r="G1025" s="117"/>
      <c r="H1025" s="118"/>
      <c r="J1025" s="119"/>
      <c r="K1025" s="35"/>
    </row>
    <row r="1026">
      <c r="B1026" s="116"/>
      <c r="G1026" s="117"/>
      <c r="H1026" s="118"/>
      <c r="J1026" s="119"/>
      <c r="K1026" s="35"/>
    </row>
    <row r="1027">
      <c r="B1027" s="116"/>
      <c r="G1027" s="117"/>
      <c r="H1027" s="118"/>
      <c r="J1027" s="119"/>
      <c r="K1027" s="35"/>
    </row>
    <row r="1028">
      <c r="B1028" s="116"/>
      <c r="G1028" s="117"/>
      <c r="H1028" s="118"/>
      <c r="J1028" s="119"/>
      <c r="K1028" s="35"/>
    </row>
    <row r="1029">
      <c r="B1029" s="116"/>
      <c r="G1029" s="117"/>
      <c r="H1029" s="118"/>
      <c r="J1029" s="119"/>
      <c r="K1029" s="35"/>
    </row>
    <row r="1030">
      <c r="B1030" s="116"/>
      <c r="G1030" s="117"/>
      <c r="H1030" s="118"/>
      <c r="J1030" s="119"/>
      <c r="K1030" s="35"/>
    </row>
    <row r="1031">
      <c r="B1031" s="116"/>
      <c r="G1031" s="117"/>
      <c r="H1031" s="118"/>
      <c r="J1031" s="119"/>
      <c r="K1031" s="35"/>
    </row>
    <row r="1032">
      <c r="B1032" s="116"/>
      <c r="G1032" s="117"/>
      <c r="H1032" s="118"/>
      <c r="J1032" s="119"/>
      <c r="K1032" s="35"/>
    </row>
    <row r="1033">
      <c r="B1033" s="116"/>
      <c r="G1033" s="117"/>
      <c r="H1033" s="118"/>
      <c r="J1033" s="119"/>
      <c r="K1033" s="35"/>
    </row>
  </sheetData>
  <autoFilter ref="$A$1:$J$1033"/>
  <hyperlinks>
    <hyperlink r:id="rId1" ref="I2"/>
    <hyperlink r:id="rId2" ref="N2"/>
    <hyperlink r:id="rId3" ref="I3"/>
    <hyperlink r:id="rId4" ref="N3"/>
    <hyperlink r:id="rId5" ref="N4"/>
    <hyperlink r:id="rId6" ref="I5"/>
    <hyperlink r:id="rId7" ref="N5"/>
    <hyperlink r:id="rId8" ref="I6"/>
    <hyperlink r:id="rId9" ref="I7"/>
    <hyperlink r:id="rId10" ref="N7"/>
    <hyperlink r:id="rId11" ref="I8"/>
    <hyperlink r:id="rId12" ref="N8"/>
    <hyperlink r:id="rId13" ref="N9"/>
    <hyperlink r:id="rId14" ref="N10"/>
    <hyperlink r:id="rId15" ref="N11"/>
    <hyperlink r:id="rId16" ref="I12"/>
    <hyperlink r:id="rId17" ref="N12"/>
    <hyperlink r:id="rId18" ref="I13"/>
    <hyperlink r:id="rId19" ref="N13"/>
    <hyperlink r:id="rId20" ref="N14"/>
    <hyperlink r:id="rId21" ref="N15"/>
    <hyperlink r:id="rId22" ref="N16"/>
    <hyperlink r:id="rId23" ref="N17"/>
    <hyperlink r:id="rId24" ref="I18"/>
    <hyperlink r:id="rId25" ref="N18"/>
    <hyperlink r:id="rId26" ref="I19"/>
    <hyperlink r:id="rId27" ref="N19"/>
    <hyperlink r:id="rId28" ref="N20"/>
    <hyperlink r:id="rId29" ref="N21"/>
    <hyperlink r:id="rId30" ref="N22"/>
    <hyperlink r:id="rId31" ref="N23"/>
    <hyperlink r:id="rId32" ref="I29"/>
    <hyperlink r:id="rId33" ref="I30"/>
    <hyperlink r:id="rId34" ref="I34"/>
    <hyperlink r:id="rId35" ref="I35"/>
    <hyperlink r:id="rId36" ref="I39"/>
    <hyperlink r:id="rId37" ref="I40"/>
    <hyperlink r:id="rId38" ref="I44"/>
    <hyperlink r:id="rId39" ref="I45"/>
    <hyperlink r:id="rId40" ref="I49"/>
    <hyperlink r:id="rId41" ref="I50"/>
    <hyperlink r:id="rId42" ref="I54"/>
    <hyperlink r:id="rId43" ref="I55"/>
    <hyperlink r:id="rId44" ref="I60"/>
    <hyperlink r:id="rId45" ref="I61"/>
    <hyperlink r:id="rId46" ref="I66"/>
    <hyperlink r:id="rId47" ref="I67"/>
    <hyperlink r:id="rId48" ref="I72"/>
    <hyperlink r:id="rId49" ref="I73"/>
    <hyperlink r:id="rId50" ref="I77"/>
    <hyperlink r:id="rId51" ref="I78"/>
    <hyperlink r:id="rId52" ref="I82"/>
    <hyperlink r:id="rId53" ref="I83"/>
    <hyperlink r:id="rId54" ref="I88"/>
    <hyperlink r:id="rId55" ref="I89"/>
    <hyperlink r:id="rId56" ref="I95"/>
    <hyperlink r:id="rId57" ref="I96"/>
    <hyperlink r:id="rId58" ref="I100"/>
    <hyperlink r:id="rId59" ref="I101"/>
    <hyperlink r:id="rId60" ref="I105"/>
    <hyperlink r:id="rId61" ref="I106"/>
    <hyperlink r:id="rId62" ref="I112"/>
    <hyperlink r:id="rId63" ref="I113"/>
    <hyperlink r:id="rId64" ref="I117"/>
    <hyperlink r:id="rId65" ref="I118"/>
  </hyperlinks>
  <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</cols>
  <sheetData>
    <row r="1">
      <c r="A1" s="41" t="s">
        <v>52</v>
      </c>
      <c r="B1" s="41" t="s">
        <v>57</v>
      </c>
      <c r="C1" s="41" t="s">
        <v>58</v>
      </c>
      <c r="D1" s="41" t="s">
        <v>59</v>
      </c>
    </row>
    <row r="2">
      <c r="A2" s="41" t="s">
        <v>105</v>
      </c>
      <c r="B2" s="41" t="s">
        <v>71</v>
      </c>
      <c r="C2" s="41">
        <v>9301995.25</v>
      </c>
      <c r="D2" s="41" t="s">
        <v>109</v>
      </c>
    </row>
    <row r="3">
      <c r="A3" s="41" t="s">
        <v>105</v>
      </c>
      <c r="B3" s="41" t="s">
        <v>73</v>
      </c>
      <c r="C3" s="41">
        <v>0.0</v>
      </c>
      <c r="D3" s="41" t="s">
        <v>109</v>
      </c>
    </row>
    <row r="4">
      <c r="A4" s="41" t="s">
        <v>105</v>
      </c>
      <c r="B4" s="41" t="s">
        <v>74</v>
      </c>
      <c r="C4" s="41">
        <v>9301995.25</v>
      </c>
      <c r="D4" s="41" t="s">
        <v>109</v>
      </c>
    </row>
    <row r="5">
      <c r="A5" s="41" t="s">
        <v>108</v>
      </c>
      <c r="B5" s="41" t="s">
        <v>71</v>
      </c>
      <c r="C5" s="41">
        <v>2721813.65</v>
      </c>
      <c r="D5" s="41" t="s">
        <v>110</v>
      </c>
    </row>
    <row r="6">
      <c r="A6" s="41" t="s">
        <v>108</v>
      </c>
      <c r="B6" s="41" t="s">
        <v>73</v>
      </c>
      <c r="C6" s="41">
        <v>16447.24</v>
      </c>
      <c r="D6" s="41" t="s">
        <v>110</v>
      </c>
    </row>
    <row r="7">
      <c r="A7" s="41" t="s">
        <v>108</v>
      </c>
      <c r="B7" s="41" t="s">
        <v>74</v>
      </c>
      <c r="C7" s="41">
        <v>2738260.89</v>
      </c>
      <c r="D7" s="41" t="s">
        <v>110</v>
      </c>
    </row>
    <row r="8">
      <c r="A8" s="41" t="s">
        <v>91</v>
      </c>
      <c r="B8" s="41" t="s">
        <v>71</v>
      </c>
      <c r="C8" s="41">
        <v>1569583.45</v>
      </c>
      <c r="D8" s="41" t="s">
        <v>111</v>
      </c>
    </row>
    <row r="9">
      <c r="A9" s="41" t="s">
        <v>91</v>
      </c>
      <c r="B9" s="41" t="s">
        <v>73</v>
      </c>
      <c r="C9" s="41">
        <v>12999.13</v>
      </c>
      <c r="D9" s="41" t="s">
        <v>111</v>
      </c>
    </row>
    <row r="10">
      <c r="A10" s="41" t="s">
        <v>91</v>
      </c>
      <c r="B10" s="41" t="s">
        <v>74</v>
      </c>
      <c r="C10" s="41">
        <v>1582582.58</v>
      </c>
      <c r="D10" s="41" t="s">
        <v>111</v>
      </c>
    </row>
    <row r="11">
      <c r="A11" s="41" t="s">
        <v>83</v>
      </c>
      <c r="B11" s="41" t="s">
        <v>71</v>
      </c>
      <c r="C11" s="41">
        <v>4790049.79</v>
      </c>
      <c r="D11" s="41" t="s">
        <v>112</v>
      </c>
    </row>
    <row r="12">
      <c r="A12" s="41" t="s">
        <v>83</v>
      </c>
      <c r="B12" s="41" t="s">
        <v>73</v>
      </c>
      <c r="C12" s="41">
        <v>0.0</v>
      </c>
      <c r="D12" s="41" t="s">
        <v>112</v>
      </c>
    </row>
    <row r="13">
      <c r="A13" s="41" t="s">
        <v>83</v>
      </c>
      <c r="B13" s="41" t="s">
        <v>74</v>
      </c>
      <c r="C13" s="41">
        <v>4790049.79</v>
      </c>
      <c r="D13" s="41" t="s">
        <v>112</v>
      </c>
    </row>
    <row r="14">
      <c r="A14" s="41" t="s">
        <v>93</v>
      </c>
      <c r="B14" s="41" t="s">
        <v>71</v>
      </c>
      <c r="C14" s="41">
        <v>1626816.38</v>
      </c>
      <c r="D14" s="41" t="s">
        <v>113</v>
      </c>
    </row>
    <row r="15">
      <c r="A15" s="41" t="s">
        <v>93</v>
      </c>
      <c r="B15" s="41" t="s">
        <v>73</v>
      </c>
      <c r="C15" s="41">
        <v>0.0</v>
      </c>
      <c r="D15" s="41" t="s">
        <v>113</v>
      </c>
    </row>
    <row r="16">
      <c r="A16" s="41" t="s">
        <v>93</v>
      </c>
      <c r="B16" s="41" t="s">
        <v>74</v>
      </c>
      <c r="C16" s="41">
        <v>1626816.38</v>
      </c>
      <c r="D16" s="41" t="s">
        <v>113</v>
      </c>
    </row>
    <row r="17">
      <c r="A17" s="41" t="s">
        <v>68</v>
      </c>
      <c r="B17" s="41" t="s">
        <v>71</v>
      </c>
      <c r="C17" s="41">
        <v>3807241.49</v>
      </c>
      <c r="D17" s="41" t="s">
        <v>114</v>
      </c>
    </row>
    <row r="18">
      <c r="A18" s="41" t="s">
        <v>68</v>
      </c>
      <c r="B18" s="41" t="s">
        <v>73</v>
      </c>
      <c r="C18" s="41">
        <v>108024.99</v>
      </c>
      <c r="D18" s="41" t="s">
        <v>114</v>
      </c>
    </row>
    <row r="19">
      <c r="A19" s="41" t="s">
        <v>68</v>
      </c>
      <c r="B19" s="41" t="s">
        <v>74</v>
      </c>
      <c r="C19" s="41">
        <v>3915266.48</v>
      </c>
      <c r="D19" s="41" t="s">
        <v>114</v>
      </c>
    </row>
    <row r="20">
      <c r="A20" s="41" t="s">
        <v>94</v>
      </c>
      <c r="B20" s="41" t="s">
        <v>71</v>
      </c>
      <c r="C20" s="41">
        <v>3011589.41</v>
      </c>
      <c r="D20" s="41" t="s">
        <v>115</v>
      </c>
    </row>
    <row r="21">
      <c r="A21" s="41" t="s">
        <v>94</v>
      </c>
      <c r="B21" s="41" t="s">
        <v>73</v>
      </c>
      <c r="C21" s="41">
        <v>92079.71</v>
      </c>
      <c r="D21" s="41" t="s">
        <v>115</v>
      </c>
    </row>
    <row r="22">
      <c r="A22" s="41" t="s">
        <v>94</v>
      </c>
      <c r="B22" s="41" t="s">
        <v>74</v>
      </c>
      <c r="C22" s="41">
        <v>3103669.12</v>
      </c>
      <c r="D22" s="41" t="s">
        <v>115</v>
      </c>
    </row>
    <row r="23">
      <c r="A23" s="41" t="s">
        <v>81</v>
      </c>
      <c r="B23" s="41" t="s">
        <v>71</v>
      </c>
      <c r="C23" s="41">
        <v>5394120.75</v>
      </c>
      <c r="D23" s="41" t="s">
        <v>116</v>
      </c>
    </row>
    <row r="24">
      <c r="A24" s="41" t="s">
        <v>81</v>
      </c>
      <c r="B24" s="41" t="s">
        <v>73</v>
      </c>
      <c r="C24" s="41">
        <v>0.0</v>
      </c>
      <c r="D24" s="41" t="s">
        <v>116</v>
      </c>
    </row>
    <row r="25">
      <c r="A25" s="41" t="s">
        <v>81</v>
      </c>
      <c r="B25" s="41" t="s">
        <v>74</v>
      </c>
      <c r="C25" s="41">
        <v>5394120.75</v>
      </c>
      <c r="D25" s="41" t="s">
        <v>116</v>
      </c>
    </row>
    <row r="26">
      <c r="A26" s="41" t="s">
        <v>98</v>
      </c>
      <c r="B26" s="41" t="s">
        <v>71</v>
      </c>
      <c r="C26" s="41">
        <v>1023570.86</v>
      </c>
      <c r="D26" s="41" t="s">
        <v>117</v>
      </c>
    </row>
    <row r="27">
      <c r="A27" s="41" t="s">
        <v>98</v>
      </c>
      <c r="B27" s="41" t="s">
        <v>73</v>
      </c>
      <c r="C27" s="41">
        <v>0.0</v>
      </c>
      <c r="D27" s="41" t="s">
        <v>117</v>
      </c>
    </row>
    <row r="28">
      <c r="A28" s="41" t="s">
        <v>98</v>
      </c>
      <c r="B28" s="41" t="s">
        <v>74</v>
      </c>
      <c r="C28" s="41">
        <v>1023570.86</v>
      </c>
      <c r="D28" s="41" t="s">
        <v>117</v>
      </c>
    </row>
    <row r="29">
      <c r="A29" s="41" t="s">
        <v>88</v>
      </c>
      <c r="B29" s="41" t="s">
        <v>71</v>
      </c>
      <c r="C29" s="41">
        <v>1943033.43</v>
      </c>
      <c r="D29" s="41" t="s">
        <v>118</v>
      </c>
    </row>
    <row r="30">
      <c r="A30" s="41" t="s">
        <v>88</v>
      </c>
      <c r="B30" s="41" t="s">
        <v>73</v>
      </c>
      <c r="C30" s="41">
        <v>0.0</v>
      </c>
      <c r="D30" s="41" t="s">
        <v>118</v>
      </c>
    </row>
    <row r="31">
      <c r="A31" s="41" t="s">
        <v>88</v>
      </c>
      <c r="B31" s="41" t="s">
        <v>74</v>
      </c>
      <c r="C31" s="41">
        <v>1943033.43</v>
      </c>
      <c r="D31" s="41" t="s">
        <v>118</v>
      </c>
    </row>
    <row r="32">
      <c r="A32" s="41" t="s">
        <v>101</v>
      </c>
      <c r="B32" s="41" t="s">
        <v>71</v>
      </c>
      <c r="C32" s="41">
        <v>3649095.54</v>
      </c>
      <c r="D32" s="41" t="s">
        <v>119</v>
      </c>
    </row>
    <row r="33">
      <c r="A33" s="41" t="s">
        <v>101</v>
      </c>
      <c r="B33" s="41" t="s">
        <v>73</v>
      </c>
      <c r="C33" s="41">
        <v>0.0</v>
      </c>
      <c r="D33" s="41" t="s">
        <v>119</v>
      </c>
    </row>
    <row r="34">
      <c r="A34" s="41" t="s">
        <v>101</v>
      </c>
      <c r="B34" s="41" t="s">
        <v>74</v>
      </c>
      <c r="C34" s="41">
        <v>3649095.54</v>
      </c>
      <c r="D34" s="41" t="s">
        <v>119</v>
      </c>
    </row>
    <row r="35">
      <c r="A35" s="41" t="s">
        <v>95</v>
      </c>
      <c r="B35" s="41" t="s">
        <v>71</v>
      </c>
      <c r="C35" s="41">
        <v>2349990.65</v>
      </c>
      <c r="D35" s="41" t="s">
        <v>120</v>
      </c>
    </row>
    <row r="36">
      <c r="A36" s="41" t="s">
        <v>95</v>
      </c>
      <c r="B36" s="41" t="s">
        <v>73</v>
      </c>
      <c r="C36" s="41">
        <v>0.0</v>
      </c>
      <c r="D36" s="41" t="s">
        <v>120</v>
      </c>
    </row>
    <row r="37">
      <c r="A37" s="41" t="s">
        <v>95</v>
      </c>
      <c r="B37" s="41" t="s">
        <v>74</v>
      </c>
      <c r="C37" s="41">
        <v>2349990.65</v>
      </c>
      <c r="D37" s="41" t="s">
        <v>120</v>
      </c>
    </row>
    <row r="38">
      <c r="A38" s="41" t="s">
        <v>106</v>
      </c>
      <c r="B38" s="41" t="s">
        <v>71</v>
      </c>
      <c r="C38" s="41">
        <v>4433686.58</v>
      </c>
      <c r="D38" s="41" t="s">
        <v>121</v>
      </c>
    </row>
    <row r="39">
      <c r="A39" s="41" t="s">
        <v>106</v>
      </c>
      <c r="B39" s="41" t="s">
        <v>73</v>
      </c>
      <c r="C39" s="41">
        <v>72776.33</v>
      </c>
      <c r="D39" s="41" t="s">
        <v>121</v>
      </c>
    </row>
    <row r="40">
      <c r="A40" s="41" t="s">
        <v>106</v>
      </c>
      <c r="B40" s="41" t="s">
        <v>74</v>
      </c>
      <c r="C40" s="41">
        <v>4506462.91</v>
      </c>
      <c r="D40" s="41" t="s">
        <v>121</v>
      </c>
    </row>
    <row r="41">
      <c r="A41" s="41" t="s">
        <v>90</v>
      </c>
      <c r="B41" s="41" t="s">
        <v>71</v>
      </c>
      <c r="C41" s="41">
        <v>2544083.64</v>
      </c>
      <c r="D41" s="41" t="s">
        <v>122</v>
      </c>
    </row>
    <row r="42">
      <c r="A42" s="41" t="s">
        <v>90</v>
      </c>
      <c r="B42" s="41" t="s">
        <v>73</v>
      </c>
      <c r="C42" s="41">
        <v>44557.61</v>
      </c>
      <c r="D42" s="41" t="s">
        <v>122</v>
      </c>
    </row>
    <row r="43">
      <c r="A43" s="41" t="s">
        <v>90</v>
      </c>
      <c r="B43" s="41" t="s">
        <v>74</v>
      </c>
      <c r="C43" s="41">
        <v>2588641.25</v>
      </c>
      <c r="D43" s="41" t="s">
        <v>122</v>
      </c>
    </row>
    <row r="44">
      <c r="A44" s="41" t="s">
        <v>78</v>
      </c>
      <c r="B44" s="41" t="s">
        <v>71</v>
      </c>
      <c r="C44" s="41">
        <v>3356632.67</v>
      </c>
      <c r="D44" s="41" t="s">
        <v>123</v>
      </c>
    </row>
    <row r="45">
      <c r="A45" s="41" t="s">
        <v>78</v>
      </c>
      <c r="B45" s="41" t="s">
        <v>73</v>
      </c>
      <c r="C45" s="41">
        <v>56978.08</v>
      </c>
      <c r="D45" s="41" t="s">
        <v>123</v>
      </c>
    </row>
    <row r="46">
      <c r="A46" s="41" t="s">
        <v>78</v>
      </c>
      <c r="B46" s="41" t="s">
        <v>74</v>
      </c>
      <c r="C46" s="41">
        <v>3413610.75</v>
      </c>
      <c r="D46" s="41" t="s">
        <v>123</v>
      </c>
    </row>
    <row r="47">
      <c r="A47" s="41" t="s">
        <v>89</v>
      </c>
      <c r="B47" s="41" t="s">
        <v>71</v>
      </c>
      <c r="C47" s="41">
        <v>2359601.88</v>
      </c>
      <c r="D47" s="41" t="s">
        <v>124</v>
      </c>
    </row>
    <row r="48">
      <c r="A48" s="41" t="s">
        <v>89</v>
      </c>
      <c r="B48" s="41" t="s">
        <v>73</v>
      </c>
      <c r="C48" s="41">
        <v>317112.94</v>
      </c>
      <c r="D48" s="41" t="s">
        <v>124</v>
      </c>
    </row>
    <row r="49">
      <c r="A49" s="41" t="s">
        <v>89</v>
      </c>
      <c r="B49" s="41" t="s">
        <v>74</v>
      </c>
      <c r="C49" s="41">
        <v>2676714.82</v>
      </c>
      <c r="D49" s="41" t="s">
        <v>124</v>
      </c>
    </row>
    <row r="50">
      <c r="A50" s="41" t="s">
        <v>85</v>
      </c>
      <c r="B50" s="41" t="s">
        <v>71</v>
      </c>
      <c r="C50" s="41">
        <v>2680876.49</v>
      </c>
      <c r="D50" s="41" t="s">
        <v>125</v>
      </c>
    </row>
    <row r="51">
      <c r="A51" s="41" t="s">
        <v>85</v>
      </c>
      <c r="B51" s="41" t="s">
        <v>73</v>
      </c>
      <c r="C51" s="41">
        <v>16521.27</v>
      </c>
      <c r="D51" s="41" t="s">
        <v>125</v>
      </c>
    </row>
    <row r="52">
      <c r="A52" s="41" t="s">
        <v>85</v>
      </c>
      <c r="B52" s="41" t="s">
        <v>74</v>
      </c>
      <c r="C52" s="41">
        <v>2697397.76</v>
      </c>
      <c r="D52" s="41" t="s">
        <v>125</v>
      </c>
    </row>
    <row r="53">
      <c r="A53" s="41" t="s">
        <v>126</v>
      </c>
      <c r="B53" s="41" t="s">
        <v>71</v>
      </c>
      <c r="C53" s="41">
        <v>5419264.95</v>
      </c>
      <c r="D53" s="41" t="s">
        <v>127</v>
      </c>
    </row>
    <row r="54">
      <c r="A54" s="41" t="s">
        <v>126</v>
      </c>
      <c r="B54" s="41" t="s">
        <v>73</v>
      </c>
      <c r="C54" s="41">
        <v>0.0</v>
      </c>
      <c r="D54" s="41" t="s">
        <v>127</v>
      </c>
    </row>
    <row r="55">
      <c r="A55" s="41" t="s">
        <v>126</v>
      </c>
      <c r="B55" s="41" t="s">
        <v>74</v>
      </c>
      <c r="C55" s="41">
        <v>5419264.95</v>
      </c>
      <c r="D55" s="41" t="s">
        <v>127</v>
      </c>
    </row>
    <row r="56">
      <c r="A56" s="41" t="s">
        <v>128</v>
      </c>
      <c r="B56" s="41" t="s">
        <v>71</v>
      </c>
      <c r="C56" s="41">
        <v>5.282539005E7</v>
      </c>
      <c r="D56" s="41" t="s">
        <v>129</v>
      </c>
    </row>
    <row r="57">
      <c r="A57" s="41" t="s">
        <v>128</v>
      </c>
      <c r="B57" s="41" t="s">
        <v>73</v>
      </c>
      <c r="C57" s="41">
        <v>0.0</v>
      </c>
      <c r="D57" s="41" t="s">
        <v>129</v>
      </c>
    </row>
    <row r="58">
      <c r="A58" s="41" t="s">
        <v>128</v>
      </c>
      <c r="B58" s="41" t="s">
        <v>74</v>
      </c>
      <c r="C58" s="41">
        <v>5.282539005E7</v>
      </c>
      <c r="D58" s="41" t="s">
        <v>129</v>
      </c>
    </row>
    <row r="59">
      <c r="A59" s="41" t="s">
        <v>87</v>
      </c>
      <c r="B59" s="41" t="s">
        <v>71</v>
      </c>
      <c r="C59" s="41">
        <v>1.207751025E7</v>
      </c>
      <c r="D59" s="41" t="s">
        <v>130</v>
      </c>
    </row>
    <row r="60">
      <c r="A60" s="41" t="s">
        <v>87</v>
      </c>
      <c r="B60" s="41" t="s">
        <v>73</v>
      </c>
      <c r="C60" s="41">
        <v>75767.13</v>
      </c>
      <c r="D60" s="41" t="s">
        <v>130</v>
      </c>
    </row>
    <row r="61">
      <c r="A61" s="41" t="s">
        <v>87</v>
      </c>
      <c r="B61" s="41" t="s">
        <v>74</v>
      </c>
      <c r="C61" s="43">
        <f>C59+C60</f>
        <v>12153277.38</v>
      </c>
      <c r="D61" s="41" t="s">
        <v>130</v>
      </c>
    </row>
    <row r="68">
      <c r="C68" s="120"/>
    </row>
    <row r="70">
      <c r="C70" s="1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71"/>
    <col customWidth="1" hidden="1" min="2" max="2" width="16.86"/>
    <col customWidth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hidden="1" min="9" max="9" width="27.57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1"/>
      <c r="C1" s="11" t="s">
        <v>54</v>
      </c>
      <c r="D1" s="12" t="s">
        <v>55</v>
      </c>
      <c r="E1" s="13" t="s">
        <v>56</v>
      </c>
      <c r="F1" s="12" t="s">
        <v>57</v>
      </c>
      <c r="G1" s="12" t="s">
        <v>58</v>
      </c>
      <c r="H1" s="12" t="s">
        <v>131</v>
      </c>
      <c r="I1" s="29" t="s">
        <v>60</v>
      </c>
      <c r="J1" s="17" t="s">
        <v>61</v>
      </c>
      <c r="K1" s="18"/>
      <c r="L1" s="19" t="s">
        <v>62</v>
      </c>
      <c r="M1" s="19" t="s">
        <v>52</v>
      </c>
      <c r="N1" s="121"/>
      <c r="O1" s="122"/>
      <c r="P1" s="21"/>
      <c r="Q1" s="22" t="s">
        <v>64</v>
      </c>
      <c r="R1" s="23">
        <v>45994.0</v>
      </c>
      <c r="S1" s="22" t="s">
        <v>65</v>
      </c>
      <c r="T1" s="24" t="s">
        <v>132</v>
      </c>
      <c r="U1" s="25" t="s">
        <v>67</v>
      </c>
      <c r="V1" s="24">
        <v>527.0</v>
      </c>
      <c r="W1" s="21"/>
      <c r="X1" s="21"/>
      <c r="Y1" s="21"/>
      <c r="Z1" s="21"/>
    </row>
    <row r="2">
      <c r="A2" s="91" t="s">
        <v>38</v>
      </c>
      <c r="B2" s="27" t="s">
        <v>76</v>
      </c>
      <c r="C2" s="28" t="s">
        <v>58</v>
      </c>
      <c r="D2" s="29" t="s">
        <v>69</v>
      </c>
      <c r="E2" s="30" t="s">
        <v>77</v>
      </c>
      <c r="F2" s="37" t="s">
        <v>133</v>
      </c>
      <c r="G2" s="40">
        <v>1657631.93</v>
      </c>
      <c r="H2" s="41"/>
      <c r="I2" s="123" t="s">
        <v>39</v>
      </c>
      <c r="J2" s="34">
        <f>V1</f>
        <v>527</v>
      </c>
      <c r="K2" s="35"/>
      <c r="L2" s="36" t="b">
        <v>1</v>
      </c>
      <c r="M2" s="37" t="s">
        <v>38</v>
      </c>
      <c r="N2" s="37"/>
      <c r="O2" s="37"/>
    </row>
    <row r="3">
      <c r="A3" s="37" t="s">
        <v>38</v>
      </c>
      <c r="B3" s="40" t="s">
        <v>76</v>
      </c>
      <c r="C3" s="41" t="s">
        <v>58</v>
      </c>
      <c r="D3" s="42" t="s">
        <v>69</v>
      </c>
      <c r="F3" s="80" t="s">
        <v>134</v>
      </c>
      <c r="G3" s="70">
        <f>G2*19%</f>
        <v>314950.0667</v>
      </c>
      <c r="H3" s="71"/>
      <c r="I3" s="72"/>
      <c r="J3" s="124"/>
      <c r="K3" s="35"/>
      <c r="L3" s="36" t="b">
        <v>1</v>
      </c>
      <c r="M3" s="37" t="s">
        <v>6</v>
      </c>
      <c r="N3" s="37"/>
      <c r="O3" s="37"/>
    </row>
    <row r="4">
      <c r="A4" s="48" t="s">
        <v>38</v>
      </c>
      <c r="B4" s="49" t="s">
        <v>76</v>
      </c>
      <c r="C4" s="50" t="s">
        <v>72</v>
      </c>
      <c r="D4" s="50" t="s">
        <v>69</v>
      </c>
      <c r="E4" s="51" t="s">
        <v>77</v>
      </c>
      <c r="F4" s="50" t="s">
        <v>74</v>
      </c>
      <c r="G4" s="52">
        <f>G2+G3</f>
        <v>1972581.997</v>
      </c>
      <c r="H4" s="53"/>
      <c r="I4" s="54"/>
      <c r="J4" s="55"/>
      <c r="K4" s="35"/>
      <c r="L4" s="36" t="b">
        <v>1</v>
      </c>
      <c r="M4" s="37" t="s">
        <v>8</v>
      </c>
      <c r="N4" s="37"/>
      <c r="O4" s="37"/>
    </row>
    <row r="5">
      <c r="A5" s="91" t="s">
        <v>6</v>
      </c>
      <c r="B5" s="27" t="s">
        <v>135</v>
      </c>
      <c r="C5" s="28" t="s">
        <v>58</v>
      </c>
      <c r="D5" s="29" t="s">
        <v>69</v>
      </c>
      <c r="E5" s="30" t="s">
        <v>82</v>
      </c>
      <c r="F5" s="28" t="s">
        <v>133</v>
      </c>
      <c r="G5" s="31">
        <v>1275226.89</v>
      </c>
      <c r="H5" s="32"/>
      <c r="I5" s="33" t="s">
        <v>7</v>
      </c>
      <c r="J5" s="85">
        <f>J2+1</f>
        <v>528</v>
      </c>
      <c r="K5" s="35"/>
      <c r="L5" s="36" t="b">
        <v>1</v>
      </c>
      <c r="M5" s="37" t="s">
        <v>10</v>
      </c>
      <c r="N5" s="37"/>
      <c r="O5" s="37"/>
    </row>
    <row r="6">
      <c r="A6" s="37" t="s">
        <v>6</v>
      </c>
      <c r="B6" s="40" t="s">
        <v>135</v>
      </c>
      <c r="C6" s="41" t="s">
        <v>58</v>
      </c>
      <c r="D6" s="42" t="s">
        <v>69</v>
      </c>
      <c r="F6" s="41" t="s">
        <v>134</v>
      </c>
      <c r="G6" s="44">
        <f>G5*19%</f>
        <v>242293.1091</v>
      </c>
      <c r="H6" s="45"/>
      <c r="I6" s="125"/>
      <c r="J6" s="89"/>
      <c r="K6" s="35"/>
      <c r="L6" s="36" t="b">
        <v>1</v>
      </c>
      <c r="M6" s="37" t="s">
        <v>14</v>
      </c>
      <c r="N6" s="37"/>
      <c r="O6" s="37"/>
    </row>
    <row r="7">
      <c r="A7" s="77" t="s">
        <v>6</v>
      </c>
      <c r="B7" s="49" t="s">
        <v>135</v>
      </c>
      <c r="C7" s="50" t="s">
        <v>72</v>
      </c>
      <c r="D7" s="50" t="s">
        <v>69</v>
      </c>
      <c r="E7" s="51" t="s">
        <v>82</v>
      </c>
      <c r="F7" s="50" t="s">
        <v>74</v>
      </c>
      <c r="G7" s="52">
        <f>G5+G6</f>
        <v>1517519.999</v>
      </c>
      <c r="H7" s="53"/>
      <c r="I7" s="54"/>
      <c r="J7" s="78"/>
      <c r="K7" s="35"/>
      <c r="L7" s="36" t="b">
        <v>1</v>
      </c>
      <c r="M7" s="37" t="s">
        <v>16</v>
      </c>
      <c r="N7" s="37"/>
      <c r="O7" s="37"/>
    </row>
    <row r="8" ht="14.25" customHeight="1">
      <c r="A8" s="91" t="s">
        <v>8</v>
      </c>
      <c r="B8" s="27" t="s">
        <v>136</v>
      </c>
      <c r="C8" s="28" t="s">
        <v>58</v>
      </c>
      <c r="D8" s="29" t="s">
        <v>69</v>
      </c>
      <c r="E8" s="30" t="s">
        <v>99</v>
      </c>
      <c r="F8" s="28" t="s">
        <v>133</v>
      </c>
      <c r="G8" s="31">
        <v>538967.23</v>
      </c>
      <c r="H8" s="63"/>
      <c r="I8" s="64" t="s">
        <v>9</v>
      </c>
      <c r="J8" s="85">
        <f>J5+1</f>
        <v>529</v>
      </c>
      <c r="K8" s="35"/>
      <c r="L8" s="36" t="b">
        <v>1</v>
      </c>
      <c r="M8" s="37" t="s">
        <v>42</v>
      </c>
      <c r="N8" s="37"/>
      <c r="O8" s="37"/>
    </row>
    <row r="9" ht="14.25" customHeight="1">
      <c r="A9" s="37" t="s">
        <v>8</v>
      </c>
      <c r="B9" s="40" t="s">
        <v>136</v>
      </c>
      <c r="C9" s="41" t="s">
        <v>58</v>
      </c>
      <c r="D9" s="42" t="s">
        <v>69</v>
      </c>
      <c r="F9" s="41" t="s">
        <v>134</v>
      </c>
      <c r="G9" s="44">
        <f>G8*19%</f>
        <v>102403.7737</v>
      </c>
      <c r="H9" s="66"/>
      <c r="I9" s="41"/>
      <c r="J9" s="126"/>
      <c r="K9" s="35"/>
      <c r="L9" s="36" t="b">
        <v>1</v>
      </c>
      <c r="M9" s="37" t="s">
        <v>18</v>
      </c>
      <c r="N9" s="37"/>
      <c r="O9" s="37"/>
    </row>
    <row r="10" ht="13.5" customHeight="1">
      <c r="A10" s="77" t="s">
        <v>8</v>
      </c>
      <c r="B10" s="49" t="s">
        <v>136</v>
      </c>
      <c r="C10" s="50" t="s">
        <v>72</v>
      </c>
      <c r="D10" s="50" t="s">
        <v>69</v>
      </c>
      <c r="E10" s="51" t="s">
        <v>99</v>
      </c>
      <c r="F10" s="50" t="s">
        <v>74</v>
      </c>
      <c r="G10" s="52">
        <f>G8+G9</f>
        <v>641371.0037</v>
      </c>
      <c r="H10" s="53"/>
      <c r="I10" s="54"/>
      <c r="J10" s="78"/>
      <c r="K10" s="35"/>
      <c r="L10" s="36" t="b">
        <v>1</v>
      </c>
      <c r="M10" s="37" t="s">
        <v>20</v>
      </c>
      <c r="N10" s="37"/>
      <c r="O10" s="37"/>
    </row>
    <row r="11">
      <c r="A11" s="91" t="s">
        <v>10</v>
      </c>
      <c r="B11" s="27" t="s">
        <v>83</v>
      </c>
      <c r="C11" s="28" t="s">
        <v>58</v>
      </c>
      <c r="D11" s="29" t="s">
        <v>69</v>
      </c>
      <c r="E11" s="30" t="s">
        <v>84</v>
      </c>
      <c r="F11" s="28" t="s">
        <v>133</v>
      </c>
      <c r="G11" s="31">
        <v>1200235.29</v>
      </c>
      <c r="H11" s="32"/>
      <c r="I11" s="33" t="s">
        <v>11</v>
      </c>
      <c r="J11" s="85">
        <f>J8+1</f>
        <v>530</v>
      </c>
      <c r="K11" s="35"/>
      <c r="L11" s="36" t="b">
        <v>1</v>
      </c>
      <c r="M11" s="37" t="s">
        <v>24</v>
      </c>
      <c r="N11" s="37"/>
      <c r="O11" s="37"/>
    </row>
    <row r="12">
      <c r="A12" s="37" t="s">
        <v>10</v>
      </c>
      <c r="B12" s="40" t="s">
        <v>83</v>
      </c>
      <c r="C12" s="41" t="s">
        <v>58</v>
      </c>
      <c r="D12" s="42" t="s">
        <v>69</v>
      </c>
      <c r="F12" s="41" t="s">
        <v>134</v>
      </c>
      <c r="G12" s="44">
        <f>G11*19%</f>
        <v>228044.7051</v>
      </c>
      <c r="H12" s="45"/>
      <c r="I12" s="125"/>
      <c r="J12" s="89"/>
      <c r="K12" s="35"/>
      <c r="L12" s="36" t="b">
        <v>1</v>
      </c>
      <c r="M12" s="37" t="s">
        <v>26</v>
      </c>
      <c r="N12" s="37"/>
      <c r="O12" s="37"/>
    </row>
    <row r="13">
      <c r="A13" s="77" t="s">
        <v>10</v>
      </c>
      <c r="B13" s="49" t="s">
        <v>83</v>
      </c>
      <c r="C13" s="50" t="s">
        <v>72</v>
      </c>
      <c r="D13" s="50" t="s">
        <v>69</v>
      </c>
      <c r="E13" s="51" t="s">
        <v>84</v>
      </c>
      <c r="F13" s="50" t="s">
        <v>74</v>
      </c>
      <c r="G13" s="52">
        <f>G11+G12</f>
        <v>1428279.995</v>
      </c>
      <c r="H13" s="53"/>
      <c r="I13" s="54"/>
      <c r="J13" s="78"/>
      <c r="K13" s="35"/>
      <c r="L13" s="36" t="b">
        <v>1</v>
      </c>
      <c r="M13" s="37" t="s">
        <v>28</v>
      </c>
      <c r="N13" s="37"/>
      <c r="O13" s="37"/>
    </row>
    <row r="14">
      <c r="A14" s="91" t="s">
        <v>14</v>
      </c>
      <c r="B14" s="27" t="s">
        <v>88</v>
      </c>
      <c r="C14" s="28" t="s">
        <v>58</v>
      </c>
      <c r="D14" s="29" t="s">
        <v>69</v>
      </c>
      <c r="E14" s="30" t="s">
        <v>82</v>
      </c>
      <c r="F14" s="28" t="s">
        <v>133</v>
      </c>
      <c r="G14" s="31">
        <v>689048.74</v>
      </c>
      <c r="H14" s="32"/>
      <c r="I14" s="33" t="s">
        <v>15</v>
      </c>
      <c r="J14" s="85">
        <f>J11+1</f>
        <v>531</v>
      </c>
      <c r="K14" s="35"/>
      <c r="L14" s="36" t="b">
        <v>1</v>
      </c>
      <c r="M14" s="43" t="s">
        <v>30</v>
      </c>
    </row>
    <row r="15">
      <c r="A15" s="37" t="s">
        <v>14</v>
      </c>
      <c r="B15" s="40" t="s">
        <v>88</v>
      </c>
      <c r="C15" s="41" t="s">
        <v>58</v>
      </c>
      <c r="D15" s="42" t="s">
        <v>69</v>
      </c>
      <c r="F15" s="41" t="s">
        <v>134</v>
      </c>
      <c r="G15" s="44">
        <f>G14*19%</f>
        <v>130919.2606</v>
      </c>
      <c r="H15" s="45"/>
      <c r="I15" s="125"/>
      <c r="J15" s="89"/>
      <c r="K15" s="35"/>
      <c r="L15" s="36" t="b">
        <v>1</v>
      </c>
      <c r="M15" s="43" t="s">
        <v>32</v>
      </c>
    </row>
    <row r="16">
      <c r="A16" s="77" t="s">
        <v>14</v>
      </c>
      <c r="B16" s="49" t="s">
        <v>88</v>
      </c>
      <c r="C16" s="50" t="s">
        <v>72</v>
      </c>
      <c r="D16" s="50" t="s">
        <v>69</v>
      </c>
      <c r="E16" s="51" t="s">
        <v>82</v>
      </c>
      <c r="F16" s="50" t="s">
        <v>74</v>
      </c>
      <c r="G16" s="52">
        <f>G15+G14</f>
        <v>819968.0006</v>
      </c>
      <c r="H16" s="53"/>
      <c r="I16" s="54"/>
      <c r="J16" s="78"/>
      <c r="K16" s="35"/>
      <c r="L16" s="36" t="b">
        <v>1</v>
      </c>
      <c r="M16" s="43" t="s">
        <v>34</v>
      </c>
    </row>
    <row r="17">
      <c r="A17" s="91" t="s">
        <v>16</v>
      </c>
      <c r="B17" s="27" t="s">
        <v>89</v>
      </c>
      <c r="C17" s="28" t="s">
        <v>58</v>
      </c>
      <c r="D17" s="29" t="s">
        <v>69</v>
      </c>
      <c r="E17" s="30" t="s">
        <v>82</v>
      </c>
      <c r="F17" s="28" t="s">
        <v>133</v>
      </c>
      <c r="G17" s="31">
        <v>448324.37</v>
      </c>
      <c r="H17" s="32"/>
      <c r="I17" s="33" t="s">
        <v>17</v>
      </c>
      <c r="J17" s="85">
        <f>J14+1</f>
        <v>532</v>
      </c>
      <c r="K17" s="35"/>
      <c r="L17" s="36" t="b">
        <v>1</v>
      </c>
      <c r="M17" s="43" t="s">
        <v>44</v>
      </c>
    </row>
    <row r="18">
      <c r="A18" s="37" t="s">
        <v>16</v>
      </c>
      <c r="B18" s="40" t="s">
        <v>89</v>
      </c>
      <c r="C18" s="41" t="s">
        <v>58</v>
      </c>
      <c r="D18" s="42" t="s">
        <v>69</v>
      </c>
      <c r="F18" s="41" t="s">
        <v>134</v>
      </c>
      <c r="G18" s="44">
        <f>G17*19%</f>
        <v>85181.6303</v>
      </c>
      <c r="H18" s="45"/>
      <c r="I18" s="125"/>
      <c r="J18" s="89"/>
      <c r="K18" s="35"/>
      <c r="L18" s="36" t="b">
        <v>1</v>
      </c>
      <c r="M18" s="43" t="s">
        <v>137</v>
      </c>
    </row>
    <row r="19">
      <c r="A19" s="77" t="s">
        <v>16</v>
      </c>
      <c r="B19" s="49" t="s">
        <v>89</v>
      </c>
      <c r="C19" s="50" t="s">
        <v>58</v>
      </c>
      <c r="D19" s="50" t="s">
        <v>69</v>
      </c>
      <c r="E19" s="51" t="s">
        <v>82</v>
      </c>
      <c r="F19" s="50" t="s">
        <v>74</v>
      </c>
      <c r="G19" s="52">
        <f>G18+G17</f>
        <v>533506.0003</v>
      </c>
      <c r="H19" s="53"/>
      <c r="I19" s="54"/>
      <c r="J19" s="78"/>
      <c r="K19" s="35"/>
    </row>
    <row r="20">
      <c r="A20" s="26" t="s">
        <v>42</v>
      </c>
      <c r="B20" s="27" t="s">
        <v>90</v>
      </c>
      <c r="C20" s="28" t="s">
        <v>58</v>
      </c>
      <c r="D20" s="29" t="s">
        <v>69</v>
      </c>
      <c r="E20" s="30" t="s">
        <v>82</v>
      </c>
      <c r="F20" s="28" t="s">
        <v>133</v>
      </c>
      <c r="G20" s="31">
        <v>680227.73</v>
      </c>
      <c r="H20" s="63"/>
      <c r="I20" s="64" t="s">
        <v>43</v>
      </c>
      <c r="J20" s="85">
        <f>J17+1</f>
        <v>533</v>
      </c>
      <c r="K20" s="35"/>
    </row>
    <row r="21">
      <c r="A21" s="39" t="s">
        <v>42</v>
      </c>
      <c r="B21" s="40" t="s">
        <v>90</v>
      </c>
      <c r="C21" s="41" t="s">
        <v>58</v>
      </c>
      <c r="D21" s="42" t="s">
        <v>69</v>
      </c>
      <c r="F21" s="41" t="s">
        <v>134</v>
      </c>
      <c r="G21" s="44">
        <f>G20*19%</f>
        <v>129243.2687</v>
      </c>
      <c r="H21" s="66"/>
      <c r="I21" s="41"/>
      <c r="J21" s="126"/>
      <c r="K21" s="35"/>
    </row>
    <row r="22">
      <c r="A22" s="77" t="s">
        <v>42</v>
      </c>
      <c r="B22" s="49" t="s">
        <v>90</v>
      </c>
      <c r="C22" s="50" t="s">
        <v>72</v>
      </c>
      <c r="D22" s="50" t="s">
        <v>69</v>
      </c>
      <c r="E22" s="51" t="s">
        <v>82</v>
      </c>
      <c r="F22" s="50" t="s">
        <v>74</v>
      </c>
      <c r="G22" s="52">
        <f>G21+G20</f>
        <v>809470.9987</v>
      </c>
      <c r="H22" s="53"/>
      <c r="I22" s="54"/>
      <c r="J22" s="78"/>
      <c r="K22" s="35"/>
    </row>
    <row r="23">
      <c r="A23" s="26" t="s">
        <v>18</v>
      </c>
      <c r="B23" s="27" t="s">
        <v>91</v>
      </c>
      <c r="C23" s="28" t="s">
        <v>58</v>
      </c>
      <c r="D23" s="29" t="s">
        <v>69</v>
      </c>
      <c r="E23" s="30" t="s">
        <v>92</v>
      </c>
      <c r="F23" s="28" t="s">
        <v>133</v>
      </c>
      <c r="G23" s="31">
        <v>422515.97</v>
      </c>
      <c r="H23" s="63"/>
      <c r="I23" s="64" t="s">
        <v>19</v>
      </c>
      <c r="J23" s="85">
        <f>J20+1</f>
        <v>534</v>
      </c>
      <c r="K23" s="35"/>
    </row>
    <row r="24">
      <c r="A24" s="39" t="s">
        <v>18</v>
      </c>
      <c r="B24" s="40" t="s">
        <v>91</v>
      </c>
      <c r="C24" s="41" t="s">
        <v>58</v>
      </c>
      <c r="D24" s="42" t="s">
        <v>69</v>
      </c>
      <c r="F24" s="41" t="s">
        <v>134</v>
      </c>
      <c r="G24" s="44">
        <f>G23*19%</f>
        <v>80278.0343</v>
      </c>
      <c r="H24" s="66"/>
      <c r="I24" s="41"/>
      <c r="J24" s="126"/>
      <c r="K24" s="35"/>
    </row>
    <row r="25">
      <c r="A25" s="77" t="s">
        <v>18</v>
      </c>
      <c r="B25" s="49" t="s">
        <v>91</v>
      </c>
      <c r="C25" s="50" t="s">
        <v>72</v>
      </c>
      <c r="D25" s="50" t="s">
        <v>69</v>
      </c>
      <c r="E25" s="51" t="s">
        <v>92</v>
      </c>
      <c r="F25" s="50" t="s">
        <v>74</v>
      </c>
      <c r="G25" s="52">
        <f>G24+G23</f>
        <v>502794.0043</v>
      </c>
      <c r="H25" s="53"/>
      <c r="I25" s="54"/>
      <c r="J25" s="78"/>
      <c r="K25" s="35"/>
    </row>
    <row r="26">
      <c r="A26" s="26" t="s">
        <v>20</v>
      </c>
      <c r="B26" s="27" t="s">
        <v>138</v>
      </c>
      <c r="C26" s="28" t="s">
        <v>58</v>
      </c>
      <c r="D26" s="29" t="s">
        <v>69</v>
      </c>
      <c r="E26" s="30" t="s">
        <v>82</v>
      </c>
      <c r="F26" s="28" t="s">
        <v>133</v>
      </c>
      <c r="G26" s="31">
        <v>447405.04</v>
      </c>
      <c r="H26" s="63"/>
      <c r="I26" s="64" t="s">
        <v>21</v>
      </c>
      <c r="J26" s="85">
        <f>J23+1</f>
        <v>535</v>
      </c>
      <c r="K26" s="35"/>
    </row>
    <row r="27">
      <c r="A27" s="39" t="s">
        <v>20</v>
      </c>
      <c r="B27" s="40" t="s">
        <v>138</v>
      </c>
      <c r="C27" s="41" t="s">
        <v>58</v>
      </c>
      <c r="D27" s="42" t="s">
        <v>69</v>
      </c>
      <c r="F27" s="41" t="s">
        <v>134</v>
      </c>
      <c r="G27" s="44">
        <f>G26*19%</f>
        <v>85006.9576</v>
      </c>
      <c r="H27" s="66"/>
      <c r="I27" s="41"/>
      <c r="J27" s="126"/>
      <c r="K27" s="35"/>
    </row>
    <row r="28">
      <c r="A28" s="77" t="s">
        <v>20</v>
      </c>
      <c r="B28" s="49" t="s">
        <v>138</v>
      </c>
      <c r="C28" s="50" t="s">
        <v>72</v>
      </c>
      <c r="D28" s="50" t="s">
        <v>69</v>
      </c>
      <c r="E28" s="51" t="s">
        <v>82</v>
      </c>
      <c r="F28" s="50" t="s">
        <v>74</v>
      </c>
      <c r="G28" s="52">
        <f>G27+G26</f>
        <v>532411.9976</v>
      </c>
      <c r="H28" s="97"/>
      <c r="I28" s="98"/>
      <c r="J28" s="78"/>
      <c r="K28" s="35"/>
    </row>
    <row r="29">
      <c r="A29" s="91" t="s">
        <v>24</v>
      </c>
      <c r="B29" s="27" t="s">
        <v>95</v>
      </c>
      <c r="C29" s="28" t="s">
        <v>58</v>
      </c>
      <c r="D29" s="29" t="s">
        <v>69</v>
      </c>
      <c r="E29" s="30" t="s">
        <v>96</v>
      </c>
      <c r="F29" s="28" t="s">
        <v>133</v>
      </c>
      <c r="G29" s="31">
        <v>426730.25</v>
      </c>
      <c r="H29" s="32"/>
      <c r="I29" s="33" t="s">
        <v>25</v>
      </c>
      <c r="J29" s="85">
        <f>J26+1</f>
        <v>536</v>
      </c>
      <c r="K29" s="35"/>
    </row>
    <row r="30">
      <c r="A30" s="37" t="s">
        <v>24</v>
      </c>
      <c r="B30" s="40" t="s">
        <v>95</v>
      </c>
      <c r="C30" s="41" t="s">
        <v>58</v>
      </c>
      <c r="D30" s="42" t="s">
        <v>69</v>
      </c>
      <c r="F30" s="41" t="s">
        <v>134</v>
      </c>
      <c r="G30" s="44">
        <f>G29*19%</f>
        <v>81078.7475</v>
      </c>
      <c r="H30" s="45"/>
      <c r="I30" s="125"/>
      <c r="J30" s="89"/>
      <c r="K30" s="35"/>
    </row>
    <row r="31">
      <c r="A31" s="77" t="s">
        <v>24</v>
      </c>
      <c r="B31" s="49" t="s">
        <v>95</v>
      </c>
      <c r="C31" s="50" t="s">
        <v>72</v>
      </c>
      <c r="D31" s="50" t="s">
        <v>69</v>
      </c>
      <c r="E31" s="51" t="s">
        <v>96</v>
      </c>
      <c r="F31" s="50" t="s">
        <v>74</v>
      </c>
      <c r="G31" s="52">
        <f>G30+G29</f>
        <v>507808.9975</v>
      </c>
      <c r="H31" s="97"/>
      <c r="I31" s="98"/>
      <c r="J31" s="78"/>
      <c r="K31" s="35"/>
    </row>
    <row r="32">
      <c r="A32" s="26" t="s">
        <v>26</v>
      </c>
      <c r="B32" s="27" t="s">
        <v>97</v>
      </c>
      <c r="C32" s="28" t="s">
        <v>58</v>
      </c>
      <c r="D32" s="29" t="s">
        <v>69</v>
      </c>
      <c r="E32" s="30" t="s">
        <v>82</v>
      </c>
      <c r="F32" s="28" t="s">
        <v>133</v>
      </c>
      <c r="G32" s="31">
        <v>625722.69</v>
      </c>
      <c r="H32" s="63"/>
      <c r="I32" s="64" t="s">
        <v>27</v>
      </c>
      <c r="J32" s="85">
        <f>J29+1</f>
        <v>537</v>
      </c>
      <c r="K32" s="35"/>
    </row>
    <row r="33">
      <c r="A33" s="39" t="s">
        <v>26</v>
      </c>
      <c r="B33" s="40" t="s">
        <v>97</v>
      </c>
      <c r="C33" s="41" t="s">
        <v>58</v>
      </c>
      <c r="D33" s="42" t="s">
        <v>69</v>
      </c>
      <c r="F33" s="41" t="s">
        <v>134</v>
      </c>
      <c r="G33" s="44">
        <f>G32*19%</f>
        <v>118887.3111</v>
      </c>
      <c r="H33" s="66"/>
      <c r="I33" s="41"/>
      <c r="J33" s="126"/>
      <c r="K33" s="35"/>
    </row>
    <row r="34">
      <c r="A34" s="77" t="s">
        <v>26</v>
      </c>
      <c r="B34" s="49" t="s">
        <v>97</v>
      </c>
      <c r="C34" s="50" t="s">
        <v>72</v>
      </c>
      <c r="D34" s="50" t="s">
        <v>69</v>
      </c>
      <c r="E34" s="51" t="s">
        <v>82</v>
      </c>
      <c r="F34" s="50" t="s">
        <v>74</v>
      </c>
      <c r="G34" s="52">
        <f>G33+G32</f>
        <v>744610.0011</v>
      </c>
      <c r="H34" s="97"/>
      <c r="I34" s="98"/>
      <c r="J34" s="78"/>
      <c r="K34" s="35"/>
    </row>
    <row r="35">
      <c r="A35" s="26" t="s">
        <v>28</v>
      </c>
      <c r="B35" s="27" t="s">
        <v>98</v>
      </c>
      <c r="C35" s="28" t="s">
        <v>58</v>
      </c>
      <c r="D35" s="29" t="s">
        <v>69</v>
      </c>
      <c r="E35" s="30" t="s">
        <v>99</v>
      </c>
      <c r="F35" s="28" t="s">
        <v>133</v>
      </c>
      <c r="G35" s="31">
        <v>433598.32</v>
      </c>
      <c r="H35" s="63"/>
      <c r="I35" s="64" t="s">
        <v>29</v>
      </c>
      <c r="J35" s="85">
        <f>J32+1</f>
        <v>538</v>
      </c>
      <c r="K35" s="35"/>
    </row>
    <row r="36">
      <c r="A36" s="39" t="s">
        <v>28</v>
      </c>
      <c r="B36" s="40" t="s">
        <v>98</v>
      </c>
      <c r="C36" s="41" t="s">
        <v>58</v>
      </c>
      <c r="D36" s="42" t="s">
        <v>69</v>
      </c>
      <c r="F36" s="41" t="s">
        <v>134</v>
      </c>
      <c r="G36" s="44">
        <f>G35*19%</f>
        <v>82383.6808</v>
      </c>
      <c r="H36" s="66"/>
      <c r="I36" s="41"/>
      <c r="J36" s="126"/>
      <c r="K36" s="35"/>
    </row>
    <row r="37">
      <c r="A37" s="77" t="s">
        <v>28</v>
      </c>
      <c r="B37" s="49" t="s">
        <v>98</v>
      </c>
      <c r="C37" s="50" t="s">
        <v>72</v>
      </c>
      <c r="D37" s="50" t="s">
        <v>69</v>
      </c>
      <c r="E37" s="51" t="s">
        <v>99</v>
      </c>
      <c r="F37" s="50" t="s">
        <v>74</v>
      </c>
      <c r="G37" s="52">
        <f>G36+G35</f>
        <v>515982.0008</v>
      </c>
      <c r="H37" s="97"/>
      <c r="I37" s="98"/>
      <c r="J37" s="78"/>
      <c r="K37" s="35"/>
    </row>
    <row r="38">
      <c r="A38" s="91" t="s">
        <v>30</v>
      </c>
      <c r="B38" s="27" t="s">
        <v>101</v>
      </c>
      <c r="C38" s="28" t="s">
        <v>58</v>
      </c>
      <c r="D38" s="29" t="s">
        <v>69</v>
      </c>
      <c r="E38" s="30" t="s">
        <v>102</v>
      </c>
      <c r="F38" s="28" t="s">
        <v>133</v>
      </c>
      <c r="G38" s="31">
        <v>654646.22</v>
      </c>
      <c r="H38" s="32"/>
      <c r="I38" s="33" t="s">
        <v>31</v>
      </c>
      <c r="J38" s="85">
        <f>J35+1</f>
        <v>539</v>
      </c>
      <c r="K38" s="35"/>
    </row>
    <row r="39">
      <c r="A39" s="37" t="s">
        <v>30</v>
      </c>
      <c r="B39" s="40" t="s">
        <v>101</v>
      </c>
      <c r="C39" s="41" t="s">
        <v>58</v>
      </c>
      <c r="D39" s="42" t="s">
        <v>69</v>
      </c>
      <c r="F39" s="41" t="s">
        <v>134</v>
      </c>
      <c r="G39" s="44">
        <f>G38*19%</f>
        <v>124382.7818</v>
      </c>
      <c r="H39" s="45"/>
      <c r="I39" s="125"/>
      <c r="J39" s="89"/>
      <c r="K39" s="35"/>
    </row>
    <row r="40">
      <c r="A40" s="77" t="s">
        <v>30</v>
      </c>
      <c r="B40" s="49" t="s">
        <v>101</v>
      </c>
      <c r="C40" s="50" t="s">
        <v>72</v>
      </c>
      <c r="D40" s="50" t="s">
        <v>69</v>
      </c>
      <c r="E40" s="51" t="s">
        <v>102</v>
      </c>
      <c r="F40" s="50" t="s">
        <v>74</v>
      </c>
      <c r="G40" s="52">
        <f>G39+G38</f>
        <v>779029.0018</v>
      </c>
      <c r="H40" s="97"/>
      <c r="I40" s="98"/>
      <c r="J40" s="78"/>
      <c r="K40" s="35"/>
    </row>
    <row r="41">
      <c r="A41" s="91" t="s">
        <v>32</v>
      </c>
      <c r="B41" s="27" t="s">
        <v>103</v>
      </c>
      <c r="C41" s="28" t="s">
        <v>58</v>
      </c>
      <c r="D41" s="29" t="s">
        <v>69</v>
      </c>
      <c r="E41" s="30" t="s">
        <v>104</v>
      </c>
      <c r="F41" s="28" t="s">
        <v>133</v>
      </c>
      <c r="G41" s="31">
        <v>545614.29</v>
      </c>
      <c r="H41" s="32"/>
      <c r="I41" s="33" t="s">
        <v>33</v>
      </c>
      <c r="J41" s="85">
        <f>J38+1</f>
        <v>540</v>
      </c>
      <c r="K41" s="35"/>
    </row>
    <row r="42">
      <c r="A42" s="37" t="s">
        <v>32</v>
      </c>
      <c r="B42" s="40" t="s">
        <v>103</v>
      </c>
      <c r="C42" s="41" t="s">
        <v>58</v>
      </c>
      <c r="D42" s="42" t="s">
        <v>69</v>
      </c>
      <c r="F42" s="41" t="s">
        <v>134</v>
      </c>
      <c r="G42" s="44">
        <f>G41*19%</f>
        <v>103666.7151</v>
      </c>
      <c r="H42" s="45"/>
      <c r="I42" s="125"/>
      <c r="J42" s="89"/>
      <c r="K42" s="35"/>
    </row>
    <row r="43">
      <c r="A43" s="77" t="s">
        <v>32</v>
      </c>
      <c r="B43" s="49" t="s">
        <v>103</v>
      </c>
      <c r="C43" s="50" t="s">
        <v>72</v>
      </c>
      <c r="D43" s="50" t="s">
        <v>69</v>
      </c>
      <c r="E43" s="51" t="s">
        <v>104</v>
      </c>
      <c r="F43" s="50" t="s">
        <v>74</v>
      </c>
      <c r="G43" s="52">
        <f>G42+G41</f>
        <v>649281.0051</v>
      </c>
      <c r="H43" s="97"/>
      <c r="I43" s="98"/>
      <c r="J43" s="78"/>
      <c r="K43" s="35"/>
    </row>
    <row r="44">
      <c r="A44" s="26" t="s">
        <v>34</v>
      </c>
      <c r="B44" s="27" t="s">
        <v>105</v>
      </c>
      <c r="C44" s="28" t="s">
        <v>58</v>
      </c>
      <c r="D44" s="29" t="s">
        <v>69</v>
      </c>
      <c r="E44" s="30" t="s">
        <v>99</v>
      </c>
      <c r="F44" s="28" t="s">
        <v>133</v>
      </c>
      <c r="G44" s="31">
        <v>3083524.37</v>
      </c>
      <c r="H44" s="63"/>
      <c r="I44" s="64" t="s">
        <v>35</v>
      </c>
      <c r="J44" s="85">
        <f>J41+1</f>
        <v>541</v>
      </c>
      <c r="K44" s="35"/>
    </row>
    <row r="45">
      <c r="A45" s="39" t="s">
        <v>34</v>
      </c>
      <c r="B45" s="40" t="s">
        <v>105</v>
      </c>
      <c r="C45" s="41" t="s">
        <v>58</v>
      </c>
      <c r="D45" s="42" t="s">
        <v>69</v>
      </c>
      <c r="F45" s="41" t="s">
        <v>134</v>
      </c>
      <c r="G45" s="44">
        <f>G44*19%</f>
        <v>585869.6303</v>
      </c>
      <c r="H45" s="66"/>
      <c r="I45" s="41"/>
      <c r="J45" s="126"/>
      <c r="K45" s="35"/>
    </row>
    <row r="46">
      <c r="A46" s="77" t="s">
        <v>34</v>
      </c>
      <c r="B46" s="49" t="s">
        <v>105</v>
      </c>
      <c r="C46" s="50" t="s">
        <v>72</v>
      </c>
      <c r="D46" s="50" t="s">
        <v>69</v>
      </c>
      <c r="E46" s="51" t="s">
        <v>99</v>
      </c>
      <c r="F46" s="50" t="s">
        <v>74</v>
      </c>
      <c r="G46" s="52">
        <f>G44+G45</f>
        <v>3669394</v>
      </c>
      <c r="H46" s="97"/>
      <c r="I46" s="98"/>
      <c r="J46" s="78"/>
      <c r="K46" s="35"/>
    </row>
    <row r="47">
      <c r="A47" s="91" t="s">
        <v>44</v>
      </c>
      <c r="B47" s="27" t="s">
        <v>106</v>
      </c>
      <c r="C47" s="28" t="s">
        <v>58</v>
      </c>
      <c r="D47" s="29" t="s">
        <v>69</v>
      </c>
      <c r="E47" s="30" t="s">
        <v>107</v>
      </c>
      <c r="F47" s="28" t="s">
        <v>133</v>
      </c>
      <c r="G47" s="31">
        <v>1007583.19</v>
      </c>
      <c r="H47" s="32"/>
      <c r="I47" s="33" t="s">
        <v>45</v>
      </c>
      <c r="J47" s="85">
        <f>J44+1</f>
        <v>542</v>
      </c>
      <c r="K47" s="35"/>
    </row>
    <row r="48">
      <c r="A48" s="37" t="s">
        <v>44</v>
      </c>
      <c r="B48" s="40" t="s">
        <v>106</v>
      </c>
      <c r="C48" s="28" t="s">
        <v>58</v>
      </c>
      <c r="D48" s="29" t="s">
        <v>69</v>
      </c>
      <c r="E48" s="30"/>
      <c r="F48" s="41" t="s">
        <v>134</v>
      </c>
      <c r="G48" s="44">
        <f>G47*19%</f>
        <v>191440.8061</v>
      </c>
      <c r="H48" s="45"/>
      <c r="I48" s="125"/>
      <c r="J48" s="89"/>
      <c r="K48" s="35"/>
    </row>
    <row r="49">
      <c r="A49" s="77" t="s">
        <v>44</v>
      </c>
      <c r="B49" s="49" t="s">
        <v>106</v>
      </c>
      <c r="C49" s="50" t="s">
        <v>72</v>
      </c>
      <c r="D49" s="50" t="s">
        <v>69</v>
      </c>
      <c r="E49" s="51" t="s">
        <v>107</v>
      </c>
      <c r="F49" s="50" t="s">
        <v>74</v>
      </c>
      <c r="G49" s="52">
        <f>G48+G47</f>
        <v>1199023.996</v>
      </c>
      <c r="H49" s="97"/>
      <c r="I49" s="98"/>
      <c r="J49" s="78"/>
      <c r="K49" s="35"/>
    </row>
    <row r="50">
      <c r="A50" s="36" t="s">
        <v>137</v>
      </c>
      <c r="B50" s="40"/>
      <c r="C50" s="28" t="s">
        <v>58</v>
      </c>
      <c r="D50" s="29" t="s">
        <v>69</v>
      </c>
      <c r="E50" s="30" t="s">
        <v>107</v>
      </c>
      <c r="F50" s="28" t="s">
        <v>133</v>
      </c>
      <c r="G50" s="31">
        <v>983778.15</v>
      </c>
      <c r="H50" s="45"/>
      <c r="I50" s="125"/>
      <c r="J50" s="89">
        <f>J47+1</f>
        <v>543</v>
      </c>
      <c r="K50" s="35"/>
    </row>
    <row r="51">
      <c r="A51" s="36" t="s">
        <v>137</v>
      </c>
      <c r="B51" s="40"/>
      <c r="C51" s="41" t="s">
        <v>58</v>
      </c>
      <c r="D51" s="42" t="s">
        <v>69</v>
      </c>
      <c r="F51" s="41" t="s">
        <v>134</v>
      </c>
      <c r="G51" s="44">
        <f>G50*19%</f>
        <v>186917.8485</v>
      </c>
      <c r="H51" s="45"/>
      <c r="I51" s="125"/>
      <c r="J51" s="89"/>
      <c r="K51" s="35"/>
    </row>
    <row r="52">
      <c r="A52" s="77" t="s">
        <v>137</v>
      </c>
      <c r="B52" s="49" t="s">
        <v>105</v>
      </c>
      <c r="C52" s="50" t="s">
        <v>72</v>
      </c>
      <c r="D52" s="50" t="s">
        <v>69</v>
      </c>
      <c r="E52" s="51" t="s">
        <v>99</v>
      </c>
      <c r="F52" s="50" t="s">
        <v>74</v>
      </c>
      <c r="G52" s="52">
        <f>G51+G50</f>
        <v>1170695.999</v>
      </c>
      <c r="H52" s="97"/>
      <c r="I52" s="98"/>
      <c r="J52" s="78"/>
      <c r="K52" s="35"/>
    </row>
    <row r="53">
      <c r="B53" s="116"/>
      <c r="G53" s="117"/>
      <c r="H53" s="118"/>
      <c r="J53" s="119"/>
      <c r="K53" s="35"/>
    </row>
    <row r="54">
      <c r="B54" s="116"/>
      <c r="G54" s="117"/>
      <c r="H54" s="118"/>
      <c r="J54" s="119"/>
      <c r="K54" s="35"/>
    </row>
    <row r="55">
      <c r="B55" s="116"/>
      <c r="G55" s="117"/>
      <c r="H55" s="118"/>
      <c r="J55" s="119"/>
      <c r="K55" s="35"/>
    </row>
    <row r="56">
      <c r="B56" s="116"/>
      <c r="G56" s="117"/>
      <c r="H56" s="118"/>
      <c r="J56" s="119"/>
      <c r="K56" s="35"/>
    </row>
    <row r="57">
      <c r="B57" s="116"/>
      <c r="G57" s="117"/>
      <c r="H57" s="118"/>
      <c r="J57" s="119"/>
      <c r="K57" s="35"/>
    </row>
    <row r="58">
      <c r="B58" s="116"/>
      <c r="G58" s="117"/>
      <c r="H58" s="118"/>
      <c r="J58" s="119"/>
      <c r="K58" s="35"/>
    </row>
    <row r="59">
      <c r="B59" s="116"/>
      <c r="G59" s="117"/>
      <c r="H59" s="118"/>
      <c r="J59" s="119"/>
      <c r="K59" s="35"/>
    </row>
    <row r="60">
      <c r="B60" s="116"/>
      <c r="G60" s="117"/>
      <c r="H60" s="118"/>
      <c r="J60" s="119"/>
      <c r="K60" s="35"/>
    </row>
    <row r="61">
      <c r="B61" s="116"/>
      <c r="G61" s="117"/>
      <c r="H61" s="118"/>
      <c r="J61" s="119"/>
      <c r="K61" s="35"/>
    </row>
    <row r="62">
      <c r="B62" s="116"/>
      <c r="G62" s="117"/>
      <c r="H62" s="118"/>
      <c r="J62" s="119"/>
      <c r="K62" s="35"/>
    </row>
    <row r="63">
      <c r="B63" s="116"/>
      <c r="G63" s="117"/>
      <c r="H63" s="118"/>
      <c r="J63" s="119"/>
      <c r="K63" s="35"/>
    </row>
    <row r="64">
      <c r="B64" s="116"/>
      <c r="G64" s="117"/>
      <c r="H64" s="118"/>
      <c r="J64" s="119"/>
      <c r="K64" s="35"/>
    </row>
    <row r="65">
      <c r="B65" s="116"/>
      <c r="G65" s="117"/>
      <c r="H65" s="118"/>
      <c r="J65" s="119"/>
      <c r="K65" s="35"/>
    </row>
    <row r="66">
      <c r="B66" s="116"/>
      <c r="G66" s="117"/>
      <c r="H66" s="118"/>
      <c r="J66" s="119"/>
      <c r="K66" s="35"/>
    </row>
    <row r="67">
      <c r="B67" s="116"/>
      <c r="G67" s="117"/>
      <c r="H67" s="118"/>
      <c r="J67" s="119"/>
      <c r="K67" s="35"/>
    </row>
    <row r="68">
      <c r="B68" s="116"/>
      <c r="G68" s="117"/>
      <c r="H68" s="118"/>
      <c r="J68" s="119"/>
      <c r="K68" s="35"/>
    </row>
    <row r="69">
      <c r="B69" s="116"/>
      <c r="G69" s="117"/>
      <c r="H69" s="118"/>
      <c r="J69" s="119"/>
      <c r="K69" s="35"/>
    </row>
    <row r="70">
      <c r="B70" s="116"/>
      <c r="G70" s="117"/>
      <c r="H70" s="118"/>
      <c r="J70" s="119"/>
      <c r="K70" s="35"/>
    </row>
    <row r="71">
      <c r="B71" s="116"/>
      <c r="G71" s="117"/>
      <c r="H71" s="118"/>
      <c r="J71" s="119"/>
      <c r="K71" s="35"/>
    </row>
    <row r="72">
      <c r="B72" s="116"/>
      <c r="G72" s="117"/>
      <c r="H72" s="118"/>
      <c r="J72" s="119"/>
      <c r="K72" s="35"/>
    </row>
    <row r="73">
      <c r="B73" s="116"/>
      <c r="G73" s="117"/>
      <c r="H73" s="118"/>
      <c r="J73" s="119"/>
      <c r="K73" s="35"/>
    </row>
    <row r="74">
      <c r="B74" s="116"/>
      <c r="G74" s="117"/>
      <c r="H74" s="118"/>
      <c r="J74" s="119"/>
      <c r="K74" s="35"/>
    </row>
    <row r="75">
      <c r="B75" s="116"/>
      <c r="G75" s="117"/>
      <c r="H75" s="118"/>
      <c r="J75" s="119"/>
      <c r="K75" s="35"/>
    </row>
    <row r="76">
      <c r="B76" s="116"/>
      <c r="G76" s="117"/>
      <c r="H76" s="118"/>
      <c r="J76" s="119"/>
      <c r="K76" s="35"/>
    </row>
    <row r="77">
      <c r="B77" s="116"/>
      <c r="G77" s="117"/>
      <c r="H77" s="118"/>
      <c r="J77" s="119"/>
      <c r="K77" s="35"/>
    </row>
    <row r="78">
      <c r="B78" s="116"/>
      <c r="G78" s="117"/>
      <c r="H78" s="118"/>
      <c r="J78" s="119"/>
      <c r="K78" s="35"/>
    </row>
    <row r="79">
      <c r="B79" s="116"/>
      <c r="G79" s="117"/>
      <c r="H79" s="118"/>
      <c r="J79" s="119"/>
      <c r="K79" s="35"/>
    </row>
    <row r="80">
      <c r="B80" s="116"/>
      <c r="G80" s="117"/>
      <c r="H80" s="118"/>
      <c r="J80" s="119"/>
      <c r="K80" s="35"/>
    </row>
    <row r="81">
      <c r="B81" s="116"/>
      <c r="G81" s="117"/>
      <c r="H81" s="118"/>
      <c r="J81" s="119"/>
      <c r="K81" s="35"/>
    </row>
    <row r="82">
      <c r="B82" s="116"/>
      <c r="G82" s="117"/>
      <c r="H82" s="118"/>
      <c r="J82" s="119"/>
      <c r="K82" s="35"/>
    </row>
    <row r="83">
      <c r="B83" s="116"/>
      <c r="G83" s="117"/>
      <c r="H83" s="118"/>
      <c r="J83" s="119"/>
      <c r="K83" s="35"/>
    </row>
    <row r="84">
      <c r="B84" s="116"/>
      <c r="G84" s="117"/>
      <c r="H84" s="118"/>
      <c r="J84" s="119"/>
      <c r="K84" s="35"/>
    </row>
    <row r="85">
      <c r="B85" s="116"/>
      <c r="G85" s="117"/>
      <c r="H85" s="118"/>
      <c r="J85" s="119"/>
      <c r="K85" s="35"/>
    </row>
    <row r="86">
      <c r="B86" s="116"/>
      <c r="G86" s="117"/>
      <c r="H86" s="118"/>
      <c r="J86" s="119"/>
      <c r="K86" s="35"/>
    </row>
    <row r="87">
      <c r="B87" s="116"/>
      <c r="G87" s="117"/>
      <c r="H87" s="118"/>
      <c r="J87" s="119"/>
      <c r="K87" s="35"/>
    </row>
    <row r="88">
      <c r="B88" s="116"/>
      <c r="G88" s="117"/>
      <c r="H88" s="118"/>
      <c r="J88" s="119"/>
      <c r="K88" s="35"/>
    </row>
    <row r="89">
      <c r="B89" s="116"/>
      <c r="G89" s="117"/>
      <c r="H89" s="118"/>
      <c r="J89" s="119"/>
      <c r="K89" s="35"/>
    </row>
    <row r="90">
      <c r="B90" s="116"/>
      <c r="G90" s="117"/>
      <c r="H90" s="118"/>
      <c r="J90" s="119"/>
      <c r="K90" s="35"/>
    </row>
    <row r="91">
      <c r="B91" s="116"/>
      <c r="G91" s="117"/>
      <c r="H91" s="118"/>
      <c r="J91" s="119"/>
      <c r="K91" s="35"/>
    </row>
    <row r="92">
      <c r="B92" s="116"/>
      <c r="G92" s="117"/>
      <c r="H92" s="118"/>
      <c r="J92" s="119"/>
      <c r="K92" s="35"/>
    </row>
    <row r="93">
      <c r="B93" s="116"/>
      <c r="G93" s="117"/>
      <c r="H93" s="118"/>
      <c r="J93" s="119"/>
      <c r="K93" s="35"/>
    </row>
    <row r="94">
      <c r="B94" s="116"/>
      <c r="G94" s="117"/>
      <c r="H94" s="118"/>
      <c r="J94" s="119"/>
      <c r="K94" s="35"/>
    </row>
    <row r="95">
      <c r="B95" s="116"/>
      <c r="G95" s="117"/>
      <c r="H95" s="118"/>
      <c r="J95" s="119"/>
      <c r="K95" s="35"/>
    </row>
    <row r="96">
      <c r="B96" s="116"/>
      <c r="G96" s="117"/>
      <c r="H96" s="118"/>
      <c r="J96" s="119"/>
      <c r="K96" s="35"/>
    </row>
    <row r="97">
      <c r="B97" s="116"/>
      <c r="G97" s="117"/>
      <c r="H97" s="118"/>
      <c r="J97" s="119"/>
      <c r="K97" s="35"/>
    </row>
    <row r="98">
      <c r="B98" s="116"/>
      <c r="G98" s="117"/>
      <c r="H98" s="118"/>
      <c r="J98" s="119"/>
      <c r="K98" s="35"/>
    </row>
    <row r="99">
      <c r="B99" s="116"/>
      <c r="G99" s="117"/>
      <c r="H99" s="118"/>
      <c r="J99" s="119"/>
      <c r="K99" s="35"/>
    </row>
    <row r="100">
      <c r="B100" s="116"/>
      <c r="G100" s="117"/>
      <c r="H100" s="118"/>
      <c r="J100" s="119"/>
      <c r="K100" s="35"/>
    </row>
    <row r="101">
      <c r="B101" s="116"/>
      <c r="G101" s="117"/>
      <c r="H101" s="118"/>
      <c r="J101" s="119"/>
      <c r="K101" s="35"/>
    </row>
    <row r="102">
      <c r="B102" s="116"/>
      <c r="G102" s="117"/>
      <c r="H102" s="118"/>
      <c r="J102" s="119"/>
      <c r="K102" s="35"/>
    </row>
    <row r="103">
      <c r="B103" s="116"/>
      <c r="G103" s="117"/>
      <c r="H103" s="118"/>
      <c r="J103" s="119"/>
      <c r="K103" s="35"/>
    </row>
    <row r="104">
      <c r="B104" s="116"/>
      <c r="G104" s="117"/>
      <c r="H104" s="118"/>
      <c r="J104" s="119"/>
      <c r="K104" s="35"/>
    </row>
    <row r="105">
      <c r="B105" s="116"/>
      <c r="G105" s="117"/>
      <c r="H105" s="118"/>
      <c r="J105" s="119"/>
      <c r="K105" s="35"/>
    </row>
    <row r="106">
      <c r="B106" s="116"/>
      <c r="G106" s="117"/>
      <c r="H106" s="118"/>
      <c r="J106" s="119"/>
      <c r="K106" s="35"/>
    </row>
    <row r="107">
      <c r="B107" s="116"/>
      <c r="G107" s="117"/>
      <c r="H107" s="118"/>
      <c r="J107" s="119"/>
      <c r="K107" s="35"/>
    </row>
    <row r="108">
      <c r="B108" s="116"/>
      <c r="G108" s="117"/>
      <c r="H108" s="118"/>
      <c r="J108" s="119"/>
      <c r="K108" s="35"/>
    </row>
    <row r="109">
      <c r="B109" s="116"/>
      <c r="G109" s="117"/>
      <c r="H109" s="118"/>
      <c r="J109" s="119"/>
      <c r="K109" s="35"/>
    </row>
    <row r="110">
      <c r="B110" s="116"/>
      <c r="G110" s="117"/>
      <c r="H110" s="118"/>
      <c r="J110" s="119"/>
      <c r="K110" s="35"/>
    </row>
    <row r="111">
      <c r="B111" s="116"/>
      <c r="G111" s="117"/>
      <c r="H111" s="118"/>
      <c r="J111" s="119"/>
      <c r="K111" s="35"/>
    </row>
    <row r="112">
      <c r="B112" s="116"/>
      <c r="G112" s="117"/>
      <c r="H112" s="118"/>
      <c r="J112" s="119"/>
      <c r="K112" s="35"/>
    </row>
    <row r="113">
      <c r="B113" s="116"/>
      <c r="G113" s="117"/>
      <c r="H113" s="118"/>
      <c r="J113" s="119"/>
      <c r="K113" s="35"/>
    </row>
    <row r="114">
      <c r="B114" s="116"/>
      <c r="G114" s="117"/>
      <c r="H114" s="118"/>
      <c r="J114" s="119"/>
      <c r="K114" s="35"/>
    </row>
    <row r="115">
      <c r="B115" s="116"/>
      <c r="G115" s="117"/>
      <c r="H115" s="118"/>
      <c r="J115" s="119"/>
      <c r="K115" s="35"/>
    </row>
    <row r="116">
      <c r="B116" s="116"/>
      <c r="G116" s="117"/>
      <c r="H116" s="118"/>
      <c r="J116" s="119"/>
      <c r="K116" s="35"/>
    </row>
    <row r="117">
      <c r="B117" s="116"/>
      <c r="G117" s="117"/>
      <c r="H117" s="118"/>
      <c r="J117" s="119"/>
      <c r="K117" s="35"/>
    </row>
    <row r="118">
      <c r="B118" s="116"/>
      <c r="G118" s="117"/>
      <c r="H118" s="118"/>
      <c r="J118" s="119"/>
      <c r="K118" s="35"/>
    </row>
    <row r="119">
      <c r="B119" s="116"/>
      <c r="G119" s="117"/>
      <c r="H119" s="118"/>
      <c r="J119" s="119"/>
      <c r="K119" s="35"/>
    </row>
    <row r="120">
      <c r="B120" s="116"/>
      <c r="G120" s="117"/>
      <c r="H120" s="118"/>
      <c r="J120" s="119"/>
      <c r="K120" s="35"/>
    </row>
    <row r="121">
      <c r="B121" s="116"/>
      <c r="G121" s="117"/>
      <c r="H121" s="118"/>
      <c r="J121" s="119"/>
      <c r="K121" s="35"/>
    </row>
    <row r="122">
      <c r="B122" s="116"/>
      <c r="G122" s="117"/>
      <c r="H122" s="118"/>
      <c r="J122" s="119"/>
      <c r="K122" s="35"/>
    </row>
    <row r="123">
      <c r="B123" s="116"/>
      <c r="G123" s="117"/>
      <c r="H123" s="118"/>
      <c r="J123" s="119"/>
      <c r="K123" s="35"/>
    </row>
    <row r="124">
      <c r="B124" s="116"/>
      <c r="G124" s="117"/>
      <c r="H124" s="118"/>
      <c r="J124" s="119"/>
      <c r="K124" s="35"/>
    </row>
    <row r="125">
      <c r="B125" s="116"/>
      <c r="G125" s="117"/>
      <c r="H125" s="118"/>
      <c r="J125" s="119"/>
      <c r="K125" s="35"/>
    </row>
    <row r="126">
      <c r="B126" s="116"/>
      <c r="G126" s="117"/>
      <c r="H126" s="118"/>
      <c r="J126" s="119"/>
      <c r="K126" s="35"/>
    </row>
    <row r="127">
      <c r="B127" s="116"/>
      <c r="G127" s="117"/>
      <c r="H127" s="118"/>
      <c r="J127" s="119"/>
      <c r="K127" s="35"/>
    </row>
    <row r="128">
      <c r="B128" s="116"/>
      <c r="G128" s="117"/>
      <c r="H128" s="118"/>
      <c r="J128" s="119"/>
      <c r="K128" s="35"/>
    </row>
    <row r="129">
      <c r="B129" s="116"/>
      <c r="G129" s="117"/>
      <c r="H129" s="118"/>
      <c r="J129" s="119"/>
      <c r="K129" s="35"/>
    </row>
    <row r="130">
      <c r="B130" s="116"/>
      <c r="G130" s="117"/>
      <c r="H130" s="118"/>
      <c r="J130" s="119"/>
      <c r="K130" s="35"/>
    </row>
    <row r="131">
      <c r="B131" s="116"/>
      <c r="G131" s="117"/>
      <c r="H131" s="118"/>
      <c r="J131" s="119"/>
      <c r="K131" s="35"/>
    </row>
    <row r="132">
      <c r="B132" s="116"/>
      <c r="G132" s="117"/>
      <c r="H132" s="118"/>
      <c r="J132" s="119"/>
      <c r="K132" s="35"/>
    </row>
    <row r="133">
      <c r="B133" s="116"/>
      <c r="G133" s="117"/>
      <c r="H133" s="118"/>
      <c r="J133" s="119"/>
      <c r="K133" s="35"/>
    </row>
    <row r="134">
      <c r="B134" s="116"/>
      <c r="G134" s="117"/>
      <c r="H134" s="118"/>
      <c r="J134" s="119"/>
      <c r="K134" s="35"/>
    </row>
    <row r="135">
      <c r="B135" s="116"/>
      <c r="G135" s="117"/>
      <c r="H135" s="118"/>
      <c r="J135" s="119"/>
      <c r="K135" s="35"/>
    </row>
    <row r="136">
      <c r="B136" s="116"/>
      <c r="G136" s="117"/>
      <c r="H136" s="118"/>
      <c r="J136" s="119"/>
      <c r="K136" s="35"/>
    </row>
    <row r="137">
      <c r="B137" s="116"/>
      <c r="G137" s="117"/>
      <c r="H137" s="118"/>
      <c r="J137" s="119"/>
      <c r="K137" s="35"/>
    </row>
    <row r="138">
      <c r="B138" s="116"/>
      <c r="G138" s="117"/>
      <c r="H138" s="118"/>
      <c r="J138" s="119"/>
      <c r="K138" s="35"/>
    </row>
    <row r="139">
      <c r="B139" s="116"/>
      <c r="G139" s="117"/>
      <c r="H139" s="118"/>
      <c r="J139" s="119"/>
      <c r="K139" s="35"/>
    </row>
    <row r="140">
      <c r="B140" s="116"/>
      <c r="G140" s="117"/>
      <c r="H140" s="118"/>
      <c r="J140" s="119"/>
      <c r="K140" s="35"/>
    </row>
    <row r="141">
      <c r="B141" s="116"/>
      <c r="G141" s="117"/>
      <c r="H141" s="118"/>
      <c r="J141" s="119"/>
      <c r="K141" s="35"/>
    </row>
    <row r="142">
      <c r="B142" s="116"/>
      <c r="G142" s="117"/>
      <c r="H142" s="118"/>
      <c r="J142" s="119"/>
      <c r="K142" s="35"/>
    </row>
    <row r="143">
      <c r="B143" s="116"/>
      <c r="G143" s="117"/>
      <c r="H143" s="118"/>
      <c r="J143" s="119"/>
      <c r="K143" s="35"/>
    </row>
    <row r="144">
      <c r="B144" s="116"/>
      <c r="G144" s="117"/>
      <c r="H144" s="118"/>
      <c r="J144" s="119"/>
      <c r="K144" s="35"/>
    </row>
    <row r="145">
      <c r="B145" s="116"/>
      <c r="G145" s="117"/>
      <c r="H145" s="118"/>
      <c r="J145" s="119"/>
      <c r="K145" s="35"/>
    </row>
    <row r="146">
      <c r="B146" s="116"/>
      <c r="G146" s="117"/>
      <c r="H146" s="118"/>
      <c r="J146" s="119"/>
      <c r="K146" s="35"/>
    </row>
    <row r="147">
      <c r="B147" s="116"/>
      <c r="G147" s="117"/>
      <c r="H147" s="118"/>
      <c r="J147" s="119"/>
      <c r="K147" s="35"/>
    </row>
    <row r="148">
      <c r="B148" s="116"/>
      <c r="G148" s="117"/>
      <c r="H148" s="118"/>
      <c r="J148" s="119"/>
      <c r="K148" s="35"/>
    </row>
    <row r="149">
      <c r="B149" s="116"/>
      <c r="G149" s="117"/>
      <c r="H149" s="118"/>
      <c r="J149" s="119"/>
      <c r="K149" s="35"/>
    </row>
    <row r="150">
      <c r="B150" s="116"/>
      <c r="G150" s="117"/>
      <c r="H150" s="118"/>
      <c r="J150" s="119"/>
      <c r="K150" s="35"/>
    </row>
    <row r="151">
      <c r="B151" s="116"/>
      <c r="G151" s="117"/>
      <c r="H151" s="118"/>
      <c r="J151" s="119"/>
      <c r="K151" s="35"/>
    </row>
    <row r="152">
      <c r="B152" s="116"/>
      <c r="G152" s="117"/>
      <c r="H152" s="118"/>
      <c r="J152" s="119"/>
      <c r="K152" s="35"/>
    </row>
    <row r="153">
      <c r="B153" s="116"/>
      <c r="G153" s="117"/>
      <c r="H153" s="118"/>
      <c r="J153" s="119"/>
      <c r="K153" s="35"/>
    </row>
    <row r="154">
      <c r="B154" s="116"/>
      <c r="G154" s="117"/>
      <c r="H154" s="118"/>
      <c r="J154" s="119"/>
      <c r="K154" s="35"/>
    </row>
    <row r="155">
      <c r="B155" s="116"/>
      <c r="G155" s="117"/>
      <c r="H155" s="118"/>
      <c r="J155" s="119"/>
      <c r="K155" s="35"/>
    </row>
    <row r="156">
      <c r="B156" s="116"/>
      <c r="G156" s="117"/>
      <c r="H156" s="118"/>
      <c r="J156" s="119"/>
      <c r="K156" s="35"/>
    </row>
    <row r="157">
      <c r="B157" s="116"/>
      <c r="G157" s="117"/>
      <c r="H157" s="118"/>
      <c r="J157" s="119"/>
      <c r="K157" s="35"/>
    </row>
    <row r="158">
      <c r="B158" s="116"/>
      <c r="G158" s="117"/>
      <c r="H158" s="118"/>
      <c r="J158" s="119"/>
      <c r="K158" s="35"/>
    </row>
    <row r="159">
      <c r="B159" s="116"/>
      <c r="G159" s="117"/>
      <c r="H159" s="118"/>
      <c r="J159" s="119"/>
      <c r="K159" s="35"/>
    </row>
    <row r="160">
      <c r="B160" s="116"/>
      <c r="G160" s="117"/>
      <c r="H160" s="118"/>
      <c r="J160" s="119"/>
      <c r="K160" s="35"/>
    </row>
    <row r="161">
      <c r="B161" s="116"/>
      <c r="G161" s="117"/>
      <c r="H161" s="118"/>
      <c r="J161" s="119"/>
      <c r="K161" s="35"/>
    </row>
    <row r="162">
      <c r="B162" s="116"/>
      <c r="G162" s="117"/>
      <c r="H162" s="118"/>
      <c r="J162" s="119"/>
      <c r="K162" s="35"/>
    </row>
    <row r="163">
      <c r="B163" s="116"/>
      <c r="G163" s="117"/>
      <c r="H163" s="118"/>
      <c r="J163" s="119"/>
      <c r="K163" s="35"/>
    </row>
    <row r="164">
      <c r="B164" s="116"/>
      <c r="G164" s="117"/>
      <c r="H164" s="118"/>
      <c r="J164" s="119"/>
      <c r="K164" s="35"/>
    </row>
    <row r="165">
      <c r="B165" s="116"/>
      <c r="G165" s="117"/>
      <c r="H165" s="118"/>
      <c r="J165" s="119"/>
      <c r="K165" s="35"/>
    </row>
    <row r="166">
      <c r="B166" s="116"/>
      <c r="G166" s="117"/>
      <c r="H166" s="118"/>
      <c r="J166" s="119"/>
      <c r="K166" s="35"/>
    </row>
    <row r="167">
      <c r="B167" s="116"/>
      <c r="G167" s="117"/>
      <c r="H167" s="118"/>
      <c r="J167" s="119"/>
      <c r="K167" s="35"/>
    </row>
    <row r="168">
      <c r="B168" s="116"/>
      <c r="G168" s="117"/>
      <c r="H168" s="118"/>
      <c r="J168" s="119"/>
      <c r="K168" s="35"/>
    </row>
    <row r="169">
      <c r="B169" s="116"/>
      <c r="G169" s="117"/>
      <c r="H169" s="118"/>
      <c r="J169" s="119"/>
      <c r="K169" s="35"/>
    </row>
    <row r="170">
      <c r="B170" s="116"/>
      <c r="G170" s="117"/>
      <c r="H170" s="118"/>
      <c r="J170" s="119"/>
      <c r="K170" s="35"/>
    </row>
    <row r="171">
      <c r="B171" s="116"/>
      <c r="G171" s="117"/>
      <c r="H171" s="118"/>
      <c r="J171" s="119"/>
      <c r="K171" s="35"/>
    </row>
    <row r="172">
      <c r="B172" s="116"/>
      <c r="G172" s="117"/>
      <c r="H172" s="118"/>
      <c r="J172" s="119"/>
      <c r="K172" s="35"/>
    </row>
    <row r="173">
      <c r="B173" s="116"/>
      <c r="G173" s="117"/>
      <c r="H173" s="118"/>
      <c r="J173" s="119"/>
      <c r="K173" s="35"/>
    </row>
    <row r="174">
      <c r="B174" s="116"/>
      <c r="G174" s="117"/>
      <c r="H174" s="118"/>
      <c r="J174" s="119"/>
      <c r="K174" s="35"/>
    </row>
    <row r="175">
      <c r="B175" s="116"/>
      <c r="G175" s="117"/>
      <c r="H175" s="118"/>
      <c r="J175" s="119"/>
      <c r="K175" s="35"/>
    </row>
    <row r="176">
      <c r="B176" s="116"/>
      <c r="G176" s="117"/>
      <c r="H176" s="118"/>
      <c r="J176" s="119"/>
      <c r="K176" s="35"/>
    </row>
    <row r="177">
      <c r="B177" s="116"/>
      <c r="G177" s="117"/>
      <c r="H177" s="118"/>
      <c r="J177" s="119"/>
      <c r="K177" s="35"/>
    </row>
    <row r="178">
      <c r="B178" s="116"/>
      <c r="G178" s="117"/>
      <c r="H178" s="118"/>
      <c r="J178" s="119"/>
      <c r="K178" s="35"/>
    </row>
    <row r="179">
      <c r="B179" s="116"/>
      <c r="G179" s="117"/>
      <c r="H179" s="118"/>
      <c r="J179" s="119"/>
      <c r="K179" s="35"/>
    </row>
    <row r="180">
      <c r="B180" s="116"/>
      <c r="G180" s="117"/>
      <c r="H180" s="118"/>
      <c r="J180" s="119"/>
      <c r="K180" s="35"/>
    </row>
    <row r="181">
      <c r="B181" s="116"/>
      <c r="G181" s="117"/>
      <c r="H181" s="118"/>
      <c r="J181" s="119"/>
      <c r="K181" s="35"/>
    </row>
    <row r="182">
      <c r="B182" s="116"/>
      <c r="G182" s="117"/>
      <c r="H182" s="118"/>
      <c r="J182" s="119"/>
      <c r="K182" s="35"/>
    </row>
    <row r="183">
      <c r="B183" s="116"/>
      <c r="G183" s="117"/>
      <c r="H183" s="118"/>
      <c r="J183" s="119"/>
      <c r="K183" s="35"/>
    </row>
    <row r="184">
      <c r="B184" s="116"/>
      <c r="G184" s="117"/>
      <c r="H184" s="118"/>
      <c r="J184" s="119"/>
      <c r="K184" s="35"/>
    </row>
    <row r="185">
      <c r="B185" s="116"/>
      <c r="G185" s="117"/>
      <c r="H185" s="118"/>
      <c r="J185" s="119"/>
      <c r="K185" s="35"/>
    </row>
    <row r="186">
      <c r="B186" s="116"/>
      <c r="G186" s="117"/>
      <c r="H186" s="118"/>
      <c r="J186" s="119"/>
      <c r="K186" s="35"/>
    </row>
    <row r="187">
      <c r="B187" s="116"/>
      <c r="G187" s="117"/>
      <c r="H187" s="118"/>
      <c r="J187" s="119"/>
      <c r="K187" s="35"/>
    </row>
    <row r="188">
      <c r="B188" s="116"/>
      <c r="G188" s="117"/>
      <c r="H188" s="118"/>
      <c r="J188" s="119"/>
      <c r="K188" s="35"/>
    </row>
    <row r="189">
      <c r="B189" s="116"/>
      <c r="G189" s="117"/>
      <c r="H189" s="118"/>
      <c r="J189" s="119"/>
      <c r="K189" s="35"/>
    </row>
    <row r="190">
      <c r="B190" s="116"/>
      <c r="G190" s="117"/>
      <c r="H190" s="118"/>
      <c r="J190" s="119"/>
      <c r="K190" s="35"/>
    </row>
    <row r="191">
      <c r="B191" s="116"/>
      <c r="G191" s="117"/>
      <c r="H191" s="118"/>
      <c r="J191" s="119"/>
      <c r="K191" s="35"/>
    </row>
    <row r="192">
      <c r="B192" s="116"/>
      <c r="G192" s="117"/>
      <c r="H192" s="118"/>
      <c r="J192" s="119"/>
      <c r="K192" s="35"/>
    </row>
    <row r="193">
      <c r="B193" s="116"/>
      <c r="G193" s="117"/>
      <c r="H193" s="118"/>
      <c r="J193" s="119"/>
      <c r="K193" s="35"/>
    </row>
    <row r="194">
      <c r="B194" s="116"/>
      <c r="G194" s="117"/>
      <c r="H194" s="118"/>
      <c r="J194" s="119"/>
      <c r="K194" s="35"/>
    </row>
    <row r="195">
      <c r="B195" s="116"/>
      <c r="G195" s="117"/>
      <c r="H195" s="118"/>
      <c r="J195" s="119"/>
      <c r="K195" s="35"/>
    </row>
    <row r="196">
      <c r="B196" s="116"/>
      <c r="G196" s="117"/>
      <c r="H196" s="118"/>
      <c r="J196" s="119"/>
      <c r="K196" s="35"/>
    </row>
    <row r="197">
      <c r="B197" s="116"/>
      <c r="G197" s="117"/>
      <c r="H197" s="118"/>
      <c r="J197" s="119"/>
      <c r="K197" s="35"/>
    </row>
    <row r="198">
      <c r="B198" s="116"/>
      <c r="G198" s="117"/>
      <c r="H198" s="118"/>
      <c r="J198" s="119"/>
      <c r="K198" s="35"/>
    </row>
    <row r="199">
      <c r="B199" s="116"/>
      <c r="G199" s="117"/>
      <c r="H199" s="118"/>
      <c r="J199" s="119"/>
      <c r="K199" s="35"/>
    </row>
    <row r="200">
      <c r="B200" s="116"/>
      <c r="G200" s="117"/>
      <c r="H200" s="118"/>
      <c r="J200" s="119"/>
      <c r="K200" s="35"/>
    </row>
    <row r="201">
      <c r="B201" s="116"/>
      <c r="G201" s="117"/>
      <c r="H201" s="118"/>
      <c r="J201" s="119"/>
      <c r="K201" s="35"/>
    </row>
    <row r="202">
      <c r="B202" s="116"/>
      <c r="G202" s="117"/>
      <c r="H202" s="118"/>
      <c r="J202" s="119"/>
      <c r="K202" s="35"/>
    </row>
    <row r="203">
      <c r="B203" s="116"/>
      <c r="G203" s="117"/>
      <c r="H203" s="118"/>
      <c r="J203" s="119"/>
      <c r="K203" s="35"/>
    </row>
    <row r="204">
      <c r="B204" s="116"/>
      <c r="G204" s="117"/>
      <c r="H204" s="118"/>
      <c r="J204" s="119"/>
      <c r="K204" s="35"/>
    </row>
    <row r="205">
      <c r="B205" s="116"/>
      <c r="G205" s="117"/>
      <c r="H205" s="118"/>
      <c r="J205" s="119"/>
      <c r="K205" s="35"/>
    </row>
    <row r="206">
      <c r="B206" s="116"/>
      <c r="G206" s="117"/>
      <c r="H206" s="118"/>
      <c r="J206" s="119"/>
      <c r="K206" s="35"/>
    </row>
    <row r="207">
      <c r="B207" s="116"/>
      <c r="G207" s="117"/>
      <c r="H207" s="118"/>
      <c r="J207" s="119"/>
      <c r="K207" s="35"/>
    </row>
    <row r="208">
      <c r="B208" s="116"/>
      <c r="G208" s="117"/>
      <c r="H208" s="118"/>
      <c r="J208" s="119"/>
      <c r="K208" s="35"/>
    </row>
    <row r="209">
      <c r="B209" s="116"/>
      <c r="G209" s="117"/>
      <c r="H209" s="118"/>
      <c r="J209" s="119"/>
      <c r="K209" s="35"/>
    </row>
    <row r="210">
      <c r="B210" s="116"/>
      <c r="G210" s="117"/>
      <c r="H210" s="118"/>
      <c r="J210" s="119"/>
      <c r="K210" s="35"/>
    </row>
    <row r="211">
      <c r="B211" s="116"/>
      <c r="G211" s="117"/>
      <c r="H211" s="118"/>
      <c r="J211" s="119"/>
      <c r="K211" s="35"/>
    </row>
    <row r="212">
      <c r="B212" s="116"/>
      <c r="G212" s="117"/>
      <c r="H212" s="118"/>
      <c r="J212" s="119"/>
      <c r="K212" s="35"/>
    </row>
    <row r="213">
      <c r="B213" s="116"/>
      <c r="G213" s="117"/>
      <c r="H213" s="118"/>
      <c r="J213" s="119"/>
      <c r="K213" s="35"/>
    </row>
    <row r="214">
      <c r="B214" s="116"/>
      <c r="G214" s="117"/>
      <c r="H214" s="118"/>
      <c r="J214" s="119"/>
      <c r="K214" s="35"/>
    </row>
    <row r="215">
      <c r="B215" s="116"/>
      <c r="G215" s="117"/>
      <c r="H215" s="118"/>
      <c r="J215" s="119"/>
      <c r="K215" s="35"/>
    </row>
    <row r="216">
      <c r="B216" s="116"/>
      <c r="G216" s="117"/>
      <c r="H216" s="118"/>
      <c r="J216" s="119"/>
      <c r="K216" s="35"/>
    </row>
    <row r="217">
      <c r="B217" s="116"/>
      <c r="G217" s="117"/>
      <c r="H217" s="118"/>
      <c r="J217" s="119"/>
      <c r="K217" s="35"/>
    </row>
    <row r="218">
      <c r="B218" s="116"/>
      <c r="G218" s="117"/>
      <c r="H218" s="118"/>
      <c r="J218" s="119"/>
      <c r="K218" s="35"/>
    </row>
    <row r="219">
      <c r="B219" s="116"/>
      <c r="G219" s="117"/>
      <c r="H219" s="118"/>
      <c r="J219" s="119"/>
      <c r="K219" s="35"/>
    </row>
    <row r="220">
      <c r="B220" s="116"/>
      <c r="G220" s="117"/>
      <c r="H220" s="118"/>
      <c r="J220" s="119"/>
      <c r="K220" s="35"/>
    </row>
    <row r="221">
      <c r="B221" s="116"/>
      <c r="G221" s="117"/>
      <c r="H221" s="118"/>
      <c r="J221" s="119"/>
      <c r="K221" s="35"/>
    </row>
    <row r="222">
      <c r="B222" s="116"/>
      <c r="G222" s="117"/>
      <c r="H222" s="118"/>
      <c r="J222" s="119"/>
      <c r="K222" s="35"/>
    </row>
    <row r="223">
      <c r="B223" s="116"/>
      <c r="G223" s="117"/>
      <c r="H223" s="118"/>
      <c r="J223" s="119"/>
      <c r="K223" s="35"/>
    </row>
    <row r="224">
      <c r="B224" s="116"/>
      <c r="G224" s="117"/>
      <c r="H224" s="118"/>
      <c r="J224" s="119"/>
      <c r="K224" s="35"/>
    </row>
    <row r="225">
      <c r="B225" s="116"/>
      <c r="G225" s="117"/>
      <c r="H225" s="118"/>
      <c r="J225" s="119"/>
      <c r="K225" s="35"/>
    </row>
    <row r="226">
      <c r="B226" s="116"/>
      <c r="G226" s="117"/>
      <c r="H226" s="118"/>
      <c r="J226" s="119"/>
      <c r="K226" s="35"/>
    </row>
    <row r="227">
      <c r="B227" s="116"/>
      <c r="G227" s="117"/>
      <c r="H227" s="118"/>
      <c r="J227" s="119"/>
      <c r="K227" s="35"/>
    </row>
    <row r="228">
      <c r="B228" s="116"/>
      <c r="G228" s="117"/>
      <c r="H228" s="118"/>
      <c r="J228" s="119"/>
      <c r="K228" s="35"/>
    </row>
    <row r="229">
      <c r="B229" s="116"/>
      <c r="G229" s="117"/>
      <c r="H229" s="118"/>
      <c r="J229" s="119"/>
      <c r="K229" s="35"/>
    </row>
    <row r="230">
      <c r="B230" s="116"/>
      <c r="G230" s="117"/>
      <c r="H230" s="118"/>
      <c r="J230" s="119"/>
      <c r="K230" s="35"/>
    </row>
    <row r="231">
      <c r="B231" s="116"/>
      <c r="G231" s="117"/>
      <c r="H231" s="118"/>
      <c r="J231" s="119"/>
      <c r="K231" s="35"/>
    </row>
    <row r="232">
      <c r="B232" s="116"/>
      <c r="G232" s="117"/>
      <c r="H232" s="118"/>
      <c r="J232" s="119"/>
      <c r="K232" s="35"/>
    </row>
    <row r="233">
      <c r="B233" s="116"/>
      <c r="G233" s="117"/>
      <c r="H233" s="118"/>
      <c r="J233" s="119"/>
      <c r="K233" s="35"/>
    </row>
    <row r="234">
      <c r="B234" s="116"/>
      <c r="G234" s="117"/>
      <c r="H234" s="118"/>
      <c r="J234" s="119"/>
      <c r="K234" s="35"/>
    </row>
    <row r="235">
      <c r="B235" s="116"/>
      <c r="G235" s="117"/>
      <c r="H235" s="118"/>
      <c r="J235" s="119"/>
      <c r="K235" s="35"/>
    </row>
    <row r="236">
      <c r="B236" s="116"/>
      <c r="G236" s="117"/>
      <c r="H236" s="118"/>
      <c r="J236" s="119"/>
      <c r="K236" s="35"/>
    </row>
    <row r="237">
      <c r="B237" s="116"/>
      <c r="G237" s="117"/>
      <c r="H237" s="118"/>
      <c r="J237" s="119"/>
      <c r="K237" s="35"/>
    </row>
    <row r="238">
      <c r="B238" s="116"/>
      <c r="G238" s="117"/>
      <c r="H238" s="118"/>
      <c r="J238" s="119"/>
      <c r="K238" s="35"/>
    </row>
    <row r="239">
      <c r="B239" s="116"/>
      <c r="G239" s="117"/>
      <c r="H239" s="118"/>
      <c r="J239" s="119"/>
      <c r="K239" s="35"/>
    </row>
    <row r="240">
      <c r="B240" s="116"/>
      <c r="G240" s="117"/>
      <c r="H240" s="118"/>
      <c r="J240" s="119"/>
      <c r="K240" s="35"/>
    </row>
    <row r="241">
      <c r="B241" s="116"/>
      <c r="G241" s="117"/>
      <c r="H241" s="118"/>
      <c r="J241" s="119"/>
      <c r="K241" s="35"/>
    </row>
    <row r="242">
      <c r="B242" s="116"/>
      <c r="G242" s="117"/>
      <c r="H242" s="118"/>
      <c r="J242" s="119"/>
      <c r="K242" s="35"/>
    </row>
    <row r="243">
      <c r="B243" s="116"/>
      <c r="G243" s="117"/>
      <c r="H243" s="118"/>
      <c r="J243" s="119"/>
      <c r="K243" s="35"/>
    </row>
    <row r="244">
      <c r="B244" s="116"/>
      <c r="G244" s="117"/>
      <c r="H244" s="118"/>
      <c r="J244" s="119"/>
      <c r="K244" s="35"/>
    </row>
    <row r="245">
      <c r="B245" s="116"/>
      <c r="G245" s="117"/>
      <c r="H245" s="118"/>
      <c r="J245" s="119"/>
      <c r="K245" s="35"/>
    </row>
    <row r="246">
      <c r="B246" s="116"/>
      <c r="G246" s="117"/>
      <c r="H246" s="118"/>
      <c r="J246" s="119"/>
      <c r="K246" s="35"/>
    </row>
    <row r="247">
      <c r="B247" s="116"/>
      <c r="G247" s="117"/>
      <c r="H247" s="118"/>
      <c r="J247" s="119"/>
      <c r="K247" s="35"/>
    </row>
    <row r="248">
      <c r="B248" s="116"/>
      <c r="G248" s="117"/>
      <c r="H248" s="118"/>
      <c r="J248" s="119"/>
      <c r="K248" s="35"/>
    </row>
    <row r="249">
      <c r="B249" s="116"/>
      <c r="G249" s="117"/>
      <c r="H249" s="118"/>
      <c r="J249" s="119"/>
      <c r="K249" s="35"/>
    </row>
    <row r="250">
      <c r="B250" s="116"/>
      <c r="G250" s="117"/>
      <c r="H250" s="118"/>
      <c r="J250" s="119"/>
      <c r="K250" s="35"/>
    </row>
    <row r="251">
      <c r="B251" s="116"/>
      <c r="G251" s="117"/>
      <c r="H251" s="118"/>
      <c r="J251" s="119"/>
      <c r="K251" s="35"/>
    </row>
    <row r="252">
      <c r="B252" s="116"/>
      <c r="G252" s="117"/>
      <c r="H252" s="118"/>
      <c r="J252" s="119"/>
      <c r="K252" s="35"/>
    </row>
    <row r="253">
      <c r="B253" s="116"/>
      <c r="G253" s="117"/>
      <c r="H253" s="118"/>
      <c r="J253" s="119"/>
      <c r="K253" s="35"/>
    </row>
    <row r="254">
      <c r="B254" s="116"/>
      <c r="G254" s="117"/>
      <c r="H254" s="118"/>
      <c r="J254" s="119"/>
      <c r="K254" s="35"/>
    </row>
    <row r="255">
      <c r="B255" s="116"/>
      <c r="G255" s="117"/>
      <c r="H255" s="118"/>
      <c r="J255" s="119"/>
      <c r="K255" s="35"/>
    </row>
    <row r="256">
      <c r="B256" s="116"/>
      <c r="G256" s="117"/>
      <c r="H256" s="118"/>
      <c r="J256" s="119"/>
      <c r="K256" s="35"/>
    </row>
    <row r="257">
      <c r="B257" s="116"/>
      <c r="G257" s="117"/>
      <c r="H257" s="118"/>
      <c r="J257" s="119"/>
      <c r="K257" s="35"/>
    </row>
    <row r="258">
      <c r="B258" s="116"/>
      <c r="G258" s="117"/>
      <c r="H258" s="118"/>
      <c r="J258" s="119"/>
      <c r="K258" s="35"/>
    </row>
    <row r="259">
      <c r="B259" s="116"/>
      <c r="G259" s="117"/>
      <c r="H259" s="118"/>
      <c r="J259" s="119"/>
      <c r="K259" s="35"/>
    </row>
    <row r="260">
      <c r="B260" s="116"/>
      <c r="G260" s="117"/>
      <c r="H260" s="118"/>
      <c r="J260" s="119"/>
      <c r="K260" s="35"/>
    </row>
    <row r="261">
      <c r="B261" s="116"/>
      <c r="G261" s="117"/>
      <c r="H261" s="118"/>
      <c r="J261" s="119"/>
      <c r="K261" s="35"/>
    </row>
    <row r="262">
      <c r="B262" s="116"/>
      <c r="G262" s="117"/>
      <c r="H262" s="118"/>
      <c r="J262" s="119"/>
      <c r="K262" s="35"/>
    </row>
    <row r="263">
      <c r="B263" s="116"/>
      <c r="G263" s="117"/>
      <c r="H263" s="118"/>
      <c r="J263" s="119"/>
      <c r="K263" s="35"/>
    </row>
    <row r="264">
      <c r="B264" s="116"/>
      <c r="G264" s="117"/>
      <c r="H264" s="118"/>
      <c r="J264" s="119"/>
      <c r="K264" s="35"/>
    </row>
    <row r="265">
      <c r="B265" s="116"/>
      <c r="G265" s="117"/>
      <c r="H265" s="118"/>
      <c r="J265" s="119"/>
      <c r="K265" s="35"/>
    </row>
    <row r="266">
      <c r="B266" s="116"/>
      <c r="G266" s="117"/>
      <c r="H266" s="118"/>
      <c r="J266" s="119"/>
      <c r="K266" s="35"/>
    </row>
    <row r="267">
      <c r="B267" s="116"/>
      <c r="G267" s="117"/>
      <c r="H267" s="118"/>
      <c r="J267" s="119"/>
      <c r="K267" s="35"/>
    </row>
    <row r="268">
      <c r="B268" s="116"/>
      <c r="G268" s="117"/>
      <c r="H268" s="118"/>
      <c r="J268" s="119"/>
      <c r="K268" s="35"/>
    </row>
    <row r="269">
      <c r="B269" s="116"/>
      <c r="G269" s="117"/>
      <c r="H269" s="118"/>
      <c r="J269" s="119"/>
      <c r="K269" s="35"/>
    </row>
    <row r="270">
      <c r="B270" s="116"/>
      <c r="G270" s="117"/>
      <c r="H270" s="118"/>
      <c r="J270" s="119"/>
      <c r="K270" s="35"/>
    </row>
    <row r="271">
      <c r="B271" s="116"/>
      <c r="G271" s="117"/>
      <c r="H271" s="118"/>
      <c r="J271" s="119"/>
      <c r="K271" s="35"/>
    </row>
    <row r="272">
      <c r="B272" s="116"/>
      <c r="G272" s="117"/>
      <c r="H272" s="118"/>
      <c r="J272" s="119"/>
      <c r="K272" s="35"/>
    </row>
    <row r="273">
      <c r="B273" s="116"/>
      <c r="G273" s="117"/>
      <c r="H273" s="118"/>
      <c r="J273" s="119"/>
      <c r="K273" s="35"/>
    </row>
    <row r="274">
      <c r="B274" s="116"/>
      <c r="G274" s="117"/>
      <c r="H274" s="118"/>
      <c r="J274" s="119"/>
      <c r="K274" s="35"/>
    </row>
    <row r="275">
      <c r="B275" s="116"/>
      <c r="G275" s="117"/>
      <c r="H275" s="118"/>
      <c r="J275" s="119"/>
      <c r="K275" s="35"/>
    </row>
    <row r="276">
      <c r="B276" s="116"/>
      <c r="G276" s="117"/>
      <c r="H276" s="118"/>
      <c r="J276" s="119"/>
      <c r="K276" s="35"/>
    </row>
    <row r="277">
      <c r="B277" s="116"/>
      <c r="G277" s="117"/>
      <c r="H277" s="118"/>
      <c r="J277" s="119"/>
      <c r="K277" s="35"/>
    </row>
    <row r="278">
      <c r="B278" s="116"/>
      <c r="G278" s="117"/>
      <c r="H278" s="118"/>
      <c r="J278" s="119"/>
      <c r="K278" s="35"/>
    </row>
    <row r="279">
      <c r="B279" s="116"/>
      <c r="G279" s="117"/>
      <c r="H279" s="118"/>
      <c r="J279" s="119"/>
      <c r="K279" s="35"/>
    </row>
    <row r="280">
      <c r="B280" s="116"/>
      <c r="G280" s="117"/>
      <c r="H280" s="118"/>
      <c r="J280" s="119"/>
      <c r="K280" s="35"/>
    </row>
    <row r="281">
      <c r="B281" s="116"/>
      <c r="G281" s="117"/>
      <c r="H281" s="118"/>
      <c r="J281" s="119"/>
      <c r="K281" s="35"/>
    </row>
    <row r="282">
      <c r="B282" s="116"/>
      <c r="G282" s="117"/>
      <c r="H282" s="118"/>
      <c r="J282" s="119"/>
      <c r="K282" s="35"/>
    </row>
    <row r="283">
      <c r="B283" s="116"/>
      <c r="G283" s="117"/>
      <c r="H283" s="118"/>
      <c r="J283" s="119"/>
      <c r="K283" s="35"/>
    </row>
    <row r="284">
      <c r="B284" s="116"/>
      <c r="G284" s="117"/>
      <c r="H284" s="118"/>
      <c r="J284" s="119"/>
      <c r="K284" s="35"/>
    </row>
    <row r="285">
      <c r="B285" s="116"/>
      <c r="G285" s="117"/>
      <c r="H285" s="118"/>
      <c r="J285" s="119"/>
      <c r="K285" s="35"/>
    </row>
    <row r="286">
      <c r="B286" s="116"/>
      <c r="G286" s="117"/>
      <c r="H286" s="118"/>
      <c r="J286" s="119"/>
      <c r="K286" s="35"/>
    </row>
    <row r="287">
      <c r="B287" s="116"/>
      <c r="G287" s="117"/>
      <c r="H287" s="118"/>
      <c r="J287" s="119"/>
      <c r="K287" s="35"/>
    </row>
    <row r="288">
      <c r="B288" s="116"/>
      <c r="G288" s="117"/>
      <c r="H288" s="118"/>
      <c r="J288" s="119"/>
      <c r="K288" s="35"/>
    </row>
    <row r="289">
      <c r="B289" s="116"/>
      <c r="G289" s="117"/>
      <c r="H289" s="118"/>
      <c r="J289" s="119"/>
      <c r="K289" s="35"/>
    </row>
    <row r="290">
      <c r="B290" s="116"/>
      <c r="G290" s="117"/>
      <c r="H290" s="118"/>
      <c r="J290" s="119"/>
      <c r="K290" s="35"/>
    </row>
    <row r="291">
      <c r="B291" s="116"/>
      <c r="G291" s="117"/>
      <c r="H291" s="118"/>
      <c r="J291" s="119"/>
      <c r="K291" s="35"/>
    </row>
    <row r="292">
      <c r="B292" s="116"/>
      <c r="G292" s="117"/>
      <c r="H292" s="118"/>
      <c r="J292" s="119"/>
      <c r="K292" s="35"/>
    </row>
    <row r="293">
      <c r="B293" s="116"/>
      <c r="G293" s="117"/>
      <c r="H293" s="118"/>
      <c r="J293" s="119"/>
      <c r="K293" s="35"/>
    </row>
    <row r="294">
      <c r="B294" s="116"/>
      <c r="G294" s="117"/>
      <c r="H294" s="118"/>
      <c r="J294" s="119"/>
      <c r="K294" s="35"/>
    </row>
    <row r="295">
      <c r="B295" s="116"/>
      <c r="G295" s="117"/>
      <c r="H295" s="118"/>
      <c r="J295" s="119"/>
      <c r="K295" s="35"/>
    </row>
    <row r="296">
      <c r="B296" s="116"/>
      <c r="G296" s="117"/>
      <c r="H296" s="118"/>
      <c r="J296" s="119"/>
      <c r="K296" s="35"/>
    </row>
    <row r="297">
      <c r="B297" s="116"/>
      <c r="G297" s="117"/>
      <c r="H297" s="118"/>
      <c r="J297" s="119"/>
      <c r="K297" s="35"/>
    </row>
    <row r="298">
      <c r="B298" s="116"/>
      <c r="G298" s="117"/>
      <c r="H298" s="118"/>
      <c r="J298" s="119"/>
      <c r="K298" s="35"/>
    </row>
    <row r="299">
      <c r="B299" s="116"/>
      <c r="G299" s="117"/>
      <c r="H299" s="118"/>
      <c r="J299" s="119"/>
      <c r="K299" s="35"/>
    </row>
    <row r="300">
      <c r="B300" s="116"/>
      <c r="G300" s="117"/>
      <c r="H300" s="118"/>
      <c r="J300" s="119"/>
      <c r="K300" s="35"/>
    </row>
    <row r="301">
      <c r="B301" s="116"/>
      <c r="G301" s="117"/>
      <c r="H301" s="118"/>
      <c r="J301" s="119"/>
      <c r="K301" s="35"/>
    </row>
    <row r="302">
      <c r="B302" s="116"/>
      <c r="G302" s="117"/>
      <c r="H302" s="118"/>
      <c r="J302" s="119"/>
      <c r="K302" s="35"/>
    </row>
    <row r="303">
      <c r="B303" s="116"/>
      <c r="G303" s="117"/>
      <c r="H303" s="118"/>
      <c r="J303" s="119"/>
      <c r="K303" s="35"/>
    </row>
    <row r="304">
      <c r="B304" s="116"/>
      <c r="G304" s="117"/>
      <c r="H304" s="118"/>
      <c r="J304" s="119"/>
      <c r="K304" s="35"/>
    </row>
    <row r="305">
      <c r="B305" s="116"/>
      <c r="G305" s="117"/>
      <c r="H305" s="118"/>
      <c r="J305" s="119"/>
      <c r="K305" s="35"/>
    </row>
    <row r="306">
      <c r="B306" s="116"/>
      <c r="G306" s="117"/>
      <c r="H306" s="118"/>
      <c r="J306" s="119"/>
      <c r="K306" s="35"/>
    </row>
    <row r="307">
      <c r="B307" s="116"/>
      <c r="G307" s="117"/>
      <c r="H307" s="118"/>
      <c r="J307" s="119"/>
      <c r="K307" s="35"/>
    </row>
    <row r="308">
      <c r="B308" s="116"/>
      <c r="G308" s="117"/>
      <c r="H308" s="118"/>
      <c r="J308" s="119"/>
      <c r="K308" s="35"/>
    </row>
    <row r="309">
      <c r="B309" s="116"/>
      <c r="G309" s="117"/>
      <c r="H309" s="118"/>
      <c r="J309" s="119"/>
      <c r="K309" s="35"/>
    </row>
    <row r="310">
      <c r="B310" s="116"/>
      <c r="G310" s="117"/>
      <c r="H310" s="118"/>
      <c r="J310" s="119"/>
      <c r="K310" s="35"/>
    </row>
    <row r="311">
      <c r="B311" s="116"/>
      <c r="G311" s="117"/>
      <c r="H311" s="118"/>
      <c r="J311" s="119"/>
      <c r="K311" s="35"/>
    </row>
    <row r="312">
      <c r="B312" s="116"/>
      <c r="G312" s="117"/>
      <c r="H312" s="118"/>
      <c r="J312" s="119"/>
      <c r="K312" s="35"/>
    </row>
    <row r="313">
      <c r="B313" s="116"/>
      <c r="G313" s="117"/>
      <c r="H313" s="118"/>
      <c r="J313" s="119"/>
      <c r="K313" s="35"/>
    </row>
    <row r="314">
      <c r="B314" s="116"/>
      <c r="G314" s="117"/>
      <c r="H314" s="118"/>
      <c r="J314" s="119"/>
      <c r="K314" s="35"/>
    </row>
    <row r="315">
      <c r="B315" s="116"/>
      <c r="G315" s="117"/>
      <c r="H315" s="118"/>
      <c r="J315" s="119"/>
      <c r="K315" s="35"/>
    </row>
    <row r="316">
      <c r="B316" s="116"/>
      <c r="G316" s="117"/>
      <c r="H316" s="118"/>
      <c r="J316" s="119"/>
      <c r="K316" s="35"/>
    </row>
    <row r="317">
      <c r="B317" s="116"/>
      <c r="G317" s="117"/>
      <c r="H317" s="118"/>
      <c r="J317" s="119"/>
      <c r="K317" s="35"/>
    </row>
    <row r="318">
      <c r="B318" s="116"/>
      <c r="G318" s="117"/>
      <c r="H318" s="118"/>
      <c r="J318" s="119"/>
      <c r="K318" s="35"/>
    </row>
    <row r="319">
      <c r="B319" s="116"/>
      <c r="G319" s="117"/>
      <c r="H319" s="118"/>
      <c r="J319" s="119"/>
      <c r="K319" s="35"/>
    </row>
    <row r="320">
      <c r="B320" s="116"/>
      <c r="G320" s="117"/>
      <c r="H320" s="118"/>
      <c r="J320" s="119"/>
      <c r="K320" s="35"/>
    </row>
    <row r="321">
      <c r="B321" s="116"/>
      <c r="G321" s="117"/>
      <c r="H321" s="118"/>
      <c r="J321" s="119"/>
      <c r="K321" s="35"/>
    </row>
    <row r="322">
      <c r="B322" s="116"/>
      <c r="G322" s="117"/>
      <c r="H322" s="118"/>
      <c r="J322" s="119"/>
      <c r="K322" s="35"/>
    </row>
    <row r="323">
      <c r="B323" s="116"/>
      <c r="G323" s="117"/>
      <c r="H323" s="118"/>
      <c r="J323" s="119"/>
      <c r="K323" s="35"/>
    </row>
    <row r="324">
      <c r="B324" s="116"/>
      <c r="G324" s="117"/>
      <c r="H324" s="118"/>
      <c r="J324" s="119"/>
      <c r="K324" s="35"/>
    </row>
    <row r="325">
      <c r="B325" s="116"/>
      <c r="G325" s="117"/>
      <c r="H325" s="118"/>
      <c r="J325" s="119"/>
      <c r="K325" s="35"/>
    </row>
    <row r="326">
      <c r="B326" s="116"/>
      <c r="G326" s="117"/>
      <c r="H326" s="118"/>
      <c r="J326" s="119"/>
      <c r="K326" s="35"/>
    </row>
    <row r="327">
      <c r="B327" s="116"/>
      <c r="G327" s="117"/>
      <c r="H327" s="118"/>
      <c r="J327" s="119"/>
      <c r="K327" s="35"/>
    </row>
    <row r="328">
      <c r="B328" s="116"/>
      <c r="G328" s="117"/>
      <c r="H328" s="118"/>
      <c r="J328" s="119"/>
      <c r="K328" s="35"/>
    </row>
    <row r="329">
      <c r="B329" s="116"/>
      <c r="G329" s="117"/>
      <c r="H329" s="118"/>
      <c r="J329" s="119"/>
      <c r="K329" s="35"/>
    </row>
    <row r="330">
      <c r="B330" s="116"/>
      <c r="G330" s="117"/>
      <c r="H330" s="118"/>
      <c r="J330" s="119"/>
      <c r="K330" s="35"/>
    </row>
    <row r="331">
      <c r="B331" s="116"/>
      <c r="G331" s="117"/>
      <c r="H331" s="118"/>
      <c r="J331" s="119"/>
      <c r="K331" s="35"/>
    </row>
    <row r="332">
      <c r="B332" s="116"/>
      <c r="G332" s="117"/>
      <c r="H332" s="118"/>
      <c r="J332" s="119"/>
      <c r="K332" s="35"/>
    </row>
    <row r="333">
      <c r="B333" s="116"/>
      <c r="G333" s="117"/>
      <c r="H333" s="118"/>
      <c r="J333" s="119"/>
      <c r="K333" s="35"/>
    </row>
    <row r="334">
      <c r="B334" s="116"/>
      <c r="G334" s="117"/>
      <c r="H334" s="118"/>
      <c r="J334" s="119"/>
      <c r="K334" s="35"/>
    </row>
    <row r="335">
      <c r="B335" s="116"/>
      <c r="G335" s="117"/>
      <c r="H335" s="118"/>
      <c r="J335" s="119"/>
      <c r="K335" s="35"/>
    </row>
    <row r="336">
      <c r="B336" s="116"/>
      <c r="G336" s="117"/>
      <c r="H336" s="118"/>
      <c r="J336" s="119"/>
      <c r="K336" s="35"/>
    </row>
    <row r="337">
      <c r="B337" s="116"/>
      <c r="G337" s="117"/>
      <c r="H337" s="118"/>
      <c r="J337" s="119"/>
      <c r="K337" s="35"/>
    </row>
    <row r="338">
      <c r="B338" s="116"/>
      <c r="G338" s="117"/>
      <c r="H338" s="118"/>
      <c r="J338" s="119"/>
      <c r="K338" s="35"/>
    </row>
    <row r="339">
      <c r="B339" s="116"/>
      <c r="G339" s="117"/>
      <c r="H339" s="118"/>
      <c r="J339" s="119"/>
      <c r="K339" s="35"/>
    </row>
    <row r="340">
      <c r="B340" s="116"/>
      <c r="G340" s="117"/>
      <c r="H340" s="118"/>
      <c r="J340" s="119"/>
      <c r="K340" s="35"/>
    </row>
    <row r="341">
      <c r="B341" s="116"/>
      <c r="G341" s="117"/>
      <c r="H341" s="118"/>
      <c r="J341" s="119"/>
      <c r="K341" s="35"/>
    </row>
    <row r="342">
      <c r="B342" s="116"/>
      <c r="G342" s="117"/>
      <c r="H342" s="118"/>
      <c r="J342" s="119"/>
      <c r="K342" s="35"/>
    </row>
    <row r="343">
      <c r="B343" s="116"/>
      <c r="G343" s="117"/>
      <c r="H343" s="118"/>
      <c r="J343" s="119"/>
      <c r="K343" s="35"/>
    </row>
    <row r="344">
      <c r="B344" s="116"/>
      <c r="G344" s="117"/>
      <c r="H344" s="118"/>
      <c r="J344" s="119"/>
      <c r="K344" s="35"/>
    </row>
    <row r="345">
      <c r="B345" s="116"/>
      <c r="G345" s="117"/>
      <c r="H345" s="118"/>
      <c r="J345" s="119"/>
      <c r="K345" s="35"/>
    </row>
    <row r="346">
      <c r="B346" s="116"/>
      <c r="G346" s="117"/>
      <c r="H346" s="118"/>
      <c r="J346" s="119"/>
      <c r="K346" s="35"/>
    </row>
    <row r="347">
      <c r="B347" s="116"/>
      <c r="G347" s="117"/>
      <c r="H347" s="118"/>
      <c r="J347" s="119"/>
      <c r="K347" s="35"/>
    </row>
    <row r="348">
      <c r="B348" s="116"/>
      <c r="G348" s="117"/>
      <c r="H348" s="118"/>
      <c r="J348" s="119"/>
      <c r="K348" s="35"/>
    </row>
    <row r="349">
      <c r="B349" s="116"/>
      <c r="G349" s="117"/>
      <c r="H349" s="118"/>
      <c r="J349" s="119"/>
      <c r="K349" s="35"/>
    </row>
    <row r="350">
      <c r="B350" s="116"/>
      <c r="G350" s="117"/>
      <c r="H350" s="118"/>
      <c r="J350" s="119"/>
      <c r="K350" s="35"/>
    </row>
    <row r="351">
      <c r="B351" s="116"/>
      <c r="G351" s="117"/>
      <c r="H351" s="118"/>
      <c r="J351" s="119"/>
      <c r="K351" s="35"/>
    </row>
    <row r="352">
      <c r="B352" s="116"/>
      <c r="G352" s="117"/>
      <c r="H352" s="118"/>
      <c r="J352" s="119"/>
      <c r="K352" s="35"/>
    </row>
    <row r="353">
      <c r="B353" s="116"/>
      <c r="G353" s="117"/>
      <c r="H353" s="118"/>
      <c r="J353" s="119"/>
      <c r="K353" s="35"/>
    </row>
    <row r="354">
      <c r="B354" s="116"/>
      <c r="G354" s="117"/>
      <c r="H354" s="118"/>
      <c r="J354" s="119"/>
      <c r="K354" s="35"/>
    </row>
    <row r="355">
      <c r="B355" s="116"/>
      <c r="G355" s="117"/>
      <c r="H355" s="118"/>
      <c r="J355" s="119"/>
      <c r="K355" s="35"/>
    </row>
    <row r="356">
      <c r="B356" s="116"/>
      <c r="G356" s="117"/>
      <c r="H356" s="118"/>
      <c r="J356" s="119"/>
      <c r="K356" s="35"/>
    </row>
    <row r="357">
      <c r="B357" s="116"/>
      <c r="G357" s="117"/>
      <c r="H357" s="118"/>
      <c r="J357" s="119"/>
      <c r="K357" s="35"/>
    </row>
    <row r="358">
      <c r="B358" s="116"/>
      <c r="G358" s="117"/>
      <c r="H358" s="118"/>
      <c r="J358" s="119"/>
      <c r="K358" s="35"/>
    </row>
    <row r="359">
      <c r="B359" s="116"/>
      <c r="G359" s="117"/>
      <c r="H359" s="118"/>
      <c r="J359" s="119"/>
      <c r="K359" s="35"/>
    </row>
    <row r="360">
      <c r="B360" s="116"/>
      <c r="G360" s="117"/>
      <c r="H360" s="118"/>
      <c r="J360" s="119"/>
      <c r="K360" s="35"/>
    </row>
    <row r="361">
      <c r="B361" s="116"/>
      <c r="G361" s="117"/>
      <c r="H361" s="118"/>
      <c r="J361" s="119"/>
      <c r="K361" s="35"/>
    </row>
    <row r="362">
      <c r="B362" s="116"/>
      <c r="G362" s="117"/>
      <c r="H362" s="118"/>
      <c r="J362" s="119"/>
      <c r="K362" s="35"/>
    </row>
    <row r="363">
      <c r="B363" s="116"/>
      <c r="G363" s="117"/>
      <c r="H363" s="118"/>
      <c r="J363" s="119"/>
      <c r="K363" s="35"/>
    </row>
    <row r="364">
      <c r="B364" s="116"/>
      <c r="G364" s="117"/>
      <c r="H364" s="118"/>
      <c r="J364" s="119"/>
      <c r="K364" s="35"/>
    </row>
    <row r="365">
      <c r="B365" s="116"/>
      <c r="G365" s="117"/>
      <c r="H365" s="118"/>
      <c r="J365" s="119"/>
      <c r="K365" s="35"/>
    </row>
    <row r="366">
      <c r="B366" s="116"/>
      <c r="G366" s="117"/>
      <c r="H366" s="118"/>
      <c r="J366" s="119"/>
      <c r="K366" s="35"/>
    </row>
    <row r="367">
      <c r="B367" s="116"/>
      <c r="G367" s="117"/>
      <c r="H367" s="118"/>
      <c r="J367" s="119"/>
      <c r="K367" s="35"/>
    </row>
    <row r="368">
      <c r="B368" s="116"/>
      <c r="G368" s="117"/>
      <c r="H368" s="118"/>
      <c r="J368" s="119"/>
      <c r="K368" s="35"/>
    </row>
    <row r="369">
      <c r="B369" s="116"/>
      <c r="G369" s="117"/>
      <c r="H369" s="118"/>
      <c r="J369" s="119"/>
      <c r="K369" s="35"/>
    </row>
    <row r="370">
      <c r="B370" s="116"/>
      <c r="G370" s="117"/>
      <c r="H370" s="118"/>
      <c r="J370" s="119"/>
      <c r="K370" s="35"/>
    </row>
    <row r="371">
      <c r="B371" s="116"/>
      <c r="G371" s="117"/>
      <c r="H371" s="118"/>
      <c r="J371" s="119"/>
      <c r="K371" s="35"/>
    </row>
    <row r="372">
      <c r="B372" s="116"/>
      <c r="G372" s="117"/>
      <c r="H372" s="118"/>
      <c r="J372" s="119"/>
      <c r="K372" s="35"/>
    </row>
    <row r="373">
      <c r="B373" s="116"/>
      <c r="G373" s="117"/>
      <c r="H373" s="118"/>
      <c r="J373" s="119"/>
      <c r="K373" s="35"/>
    </row>
    <row r="374">
      <c r="B374" s="116"/>
      <c r="G374" s="117"/>
      <c r="H374" s="118"/>
      <c r="J374" s="119"/>
      <c r="K374" s="35"/>
    </row>
    <row r="375">
      <c r="B375" s="116"/>
      <c r="G375" s="117"/>
      <c r="H375" s="118"/>
      <c r="J375" s="119"/>
      <c r="K375" s="35"/>
    </row>
    <row r="376">
      <c r="B376" s="116"/>
      <c r="G376" s="117"/>
      <c r="H376" s="118"/>
      <c r="J376" s="119"/>
      <c r="K376" s="35"/>
    </row>
    <row r="377">
      <c r="B377" s="116"/>
      <c r="G377" s="117"/>
      <c r="H377" s="118"/>
      <c r="J377" s="119"/>
      <c r="K377" s="35"/>
    </row>
    <row r="378">
      <c r="B378" s="116"/>
      <c r="G378" s="117"/>
      <c r="H378" s="118"/>
      <c r="J378" s="119"/>
      <c r="K378" s="35"/>
    </row>
    <row r="379">
      <c r="B379" s="116"/>
      <c r="G379" s="117"/>
      <c r="H379" s="118"/>
      <c r="J379" s="119"/>
      <c r="K379" s="35"/>
    </row>
    <row r="380">
      <c r="B380" s="116"/>
      <c r="G380" s="117"/>
      <c r="H380" s="118"/>
      <c r="J380" s="119"/>
      <c r="K380" s="35"/>
    </row>
    <row r="381">
      <c r="B381" s="116"/>
      <c r="G381" s="117"/>
      <c r="H381" s="118"/>
      <c r="J381" s="119"/>
      <c r="K381" s="35"/>
    </row>
    <row r="382">
      <c r="B382" s="116"/>
      <c r="G382" s="117"/>
      <c r="H382" s="118"/>
      <c r="J382" s="119"/>
      <c r="K382" s="35"/>
    </row>
    <row r="383">
      <c r="B383" s="116"/>
      <c r="G383" s="117"/>
      <c r="H383" s="118"/>
      <c r="J383" s="119"/>
      <c r="K383" s="35"/>
    </row>
    <row r="384">
      <c r="B384" s="116"/>
      <c r="G384" s="117"/>
      <c r="H384" s="118"/>
      <c r="J384" s="119"/>
      <c r="K384" s="35"/>
    </row>
    <row r="385">
      <c r="B385" s="116"/>
      <c r="G385" s="117"/>
      <c r="H385" s="118"/>
      <c r="J385" s="119"/>
      <c r="K385" s="35"/>
    </row>
    <row r="386">
      <c r="B386" s="116"/>
      <c r="G386" s="117"/>
      <c r="H386" s="118"/>
      <c r="J386" s="119"/>
      <c r="K386" s="35"/>
    </row>
    <row r="387">
      <c r="B387" s="116"/>
      <c r="G387" s="117"/>
      <c r="H387" s="118"/>
      <c r="J387" s="119"/>
      <c r="K387" s="35"/>
    </row>
    <row r="388">
      <c r="B388" s="116"/>
      <c r="G388" s="117"/>
      <c r="H388" s="118"/>
      <c r="J388" s="119"/>
      <c r="K388" s="35"/>
    </row>
    <row r="389">
      <c r="B389" s="116"/>
      <c r="G389" s="117"/>
      <c r="H389" s="118"/>
      <c r="J389" s="119"/>
      <c r="K389" s="35"/>
    </row>
    <row r="390">
      <c r="B390" s="116"/>
      <c r="G390" s="117"/>
      <c r="H390" s="118"/>
      <c r="J390" s="119"/>
      <c r="K390" s="35"/>
    </row>
    <row r="391">
      <c r="B391" s="116"/>
      <c r="G391" s="117"/>
      <c r="H391" s="118"/>
      <c r="J391" s="119"/>
      <c r="K391" s="35"/>
    </row>
    <row r="392">
      <c r="B392" s="116"/>
      <c r="G392" s="117"/>
      <c r="H392" s="118"/>
      <c r="J392" s="119"/>
      <c r="K392" s="35"/>
    </row>
    <row r="393">
      <c r="B393" s="116"/>
      <c r="G393" s="117"/>
      <c r="H393" s="118"/>
      <c r="J393" s="119"/>
      <c r="K393" s="35"/>
    </row>
    <row r="394">
      <c r="B394" s="116"/>
      <c r="G394" s="117"/>
      <c r="H394" s="118"/>
      <c r="J394" s="119"/>
      <c r="K394" s="35"/>
    </row>
    <row r="395">
      <c r="B395" s="116"/>
      <c r="G395" s="117"/>
      <c r="H395" s="118"/>
      <c r="J395" s="119"/>
      <c r="K395" s="35"/>
    </row>
    <row r="396">
      <c r="B396" s="116"/>
      <c r="G396" s="117"/>
      <c r="H396" s="118"/>
      <c r="J396" s="119"/>
      <c r="K396" s="35"/>
    </row>
    <row r="397">
      <c r="B397" s="116"/>
      <c r="G397" s="117"/>
      <c r="H397" s="118"/>
      <c r="J397" s="119"/>
      <c r="K397" s="35"/>
    </row>
    <row r="398">
      <c r="B398" s="116"/>
      <c r="G398" s="117"/>
      <c r="H398" s="118"/>
      <c r="J398" s="119"/>
      <c r="K398" s="35"/>
    </row>
    <row r="399">
      <c r="B399" s="116"/>
      <c r="G399" s="117"/>
      <c r="H399" s="118"/>
      <c r="J399" s="119"/>
      <c r="K399" s="35"/>
    </row>
    <row r="400">
      <c r="B400" s="116"/>
      <c r="G400" s="117"/>
      <c r="H400" s="118"/>
      <c r="J400" s="119"/>
      <c r="K400" s="35"/>
    </row>
    <row r="401">
      <c r="B401" s="116"/>
      <c r="G401" s="117"/>
      <c r="H401" s="118"/>
      <c r="J401" s="119"/>
      <c r="K401" s="35"/>
    </row>
    <row r="402">
      <c r="B402" s="116"/>
      <c r="G402" s="117"/>
      <c r="H402" s="118"/>
      <c r="J402" s="119"/>
      <c r="K402" s="35"/>
    </row>
    <row r="403">
      <c r="B403" s="116"/>
      <c r="G403" s="117"/>
      <c r="H403" s="118"/>
      <c r="J403" s="119"/>
      <c r="K403" s="35"/>
    </row>
    <row r="404">
      <c r="B404" s="116"/>
      <c r="G404" s="117"/>
      <c r="H404" s="118"/>
      <c r="J404" s="119"/>
      <c r="K404" s="35"/>
    </row>
    <row r="405">
      <c r="B405" s="116"/>
      <c r="G405" s="117"/>
      <c r="H405" s="118"/>
      <c r="J405" s="119"/>
      <c r="K405" s="35"/>
    </row>
    <row r="406">
      <c r="B406" s="116"/>
      <c r="G406" s="117"/>
      <c r="H406" s="118"/>
      <c r="J406" s="119"/>
      <c r="K406" s="35"/>
    </row>
    <row r="407">
      <c r="B407" s="116"/>
      <c r="G407" s="117"/>
      <c r="H407" s="118"/>
      <c r="J407" s="119"/>
      <c r="K407" s="35"/>
    </row>
    <row r="408">
      <c r="B408" s="116"/>
      <c r="G408" s="117"/>
      <c r="H408" s="118"/>
      <c r="J408" s="119"/>
      <c r="K408" s="35"/>
    </row>
    <row r="409">
      <c r="B409" s="116"/>
      <c r="G409" s="117"/>
      <c r="H409" s="118"/>
      <c r="J409" s="119"/>
      <c r="K409" s="35"/>
    </row>
    <row r="410">
      <c r="B410" s="116"/>
      <c r="G410" s="117"/>
      <c r="H410" s="118"/>
      <c r="J410" s="119"/>
      <c r="K410" s="35"/>
    </row>
    <row r="411">
      <c r="B411" s="116"/>
      <c r="G411" s="117"/>
      <c r="H411" s="118"/>
      <c r="J411" s="119"/>
      <c r="K411" s="35"/>
    </row>
    <row r="412">
      <c r="B412" s="116"/>
      <c r="G412" s="117"/>
      <c r="H412" s="118"/>
      <c r="J412" s="119"/>
      <c r="K412" s="35"/>
    </row>
    <row r="413">
      <c r="B413" s="116"/>
      <c r="G413" s="117"/>
      <c r="H413" s="118"/>
      <c r="J413" s="119"/>
      <c r="K413" s="35"/>
    </row>
    <row r="414">
      <c r="B414" s="116"/>
      <c r="G414" s="117"/>
      <c r="H414" s="118"/>
      <c r="J414" s="119"/>
      <c r="K414" s="35"/>
    </row>
    <row r="415">
      <c r="B415" s="116"/>
      <c r="G415" s="117"/>
      <c r="H415" s="118"/>
      <c r="J415" s="119"/>
      <c r="K415" s="35"/>
    </row>
    <row r="416">
      <c r="B416" s="116"/>
      <c r="G416" s="117"/>
      <c r="H416" s="118"/>
      <c r="J416" s="119"/>
      <c r="K416" s="35"/>
    </row>
    <row r="417">
      <c r="B417" s="116"/>
      <c r="G417" s="117"/>
      <c r="H417" s="118"/>
      <c r="J417" s="119"/>
      <c r="K417" s="35"/>
    </row>
    <row r="418">
      <c r="B418" s="116"/>
      <c r="G418" s="117"/>
      <c r="H418" s="118"/>
      <c r="J418" s="119"/>
      <c r="K418" s="35"/>
    </row>
    <row r="419">
      <c r="B419" s="116"/>
      <c r="G419" s="117"/>
      <c r="H419" s="118"/>
      <c r="J419" s="119"/>
      <c r="K419" s="35"/>
    </row>
    <row r="420">
      <c r="B420" s="116"/>
      <c r="G420" s="117"/>
      <c r="H420" s="118"/>
      <c r="J420" s="119"/>
      <c r="K420" s="35"/>
    </row>
    <row r="421">
      <c r="B421" s="116"/>
      <c r="G421" s="117"/>
      <c r="H421" s="118"/>
      <c r="J421" s="119"/>
      <c r="K421" s="35"/>
    </row>
    <row r="422">
      <c r="B422" s="116"/>
      <c r="G422" s="117"/>
      <c r="H422" s="118"/>
      <c r="J422" s="119"/>
      <c r="K422" s="35"/>
    </row>
    <row r="423">
      <c r="B423" s="116"/>
      <c r="G423" s="117"/>
      <c r="H423" s="118"/>
      <c r="J423" s="119"/>
      <c r="K423" s="35"/>
    </row>
    <row r="424">
      <c r="B424" s="116"/>
      <c r="G424" s="117"/>
      <c r="H424" s="118"/>
      <c r="J424" s="119"/>
      <c r="K424" s="35"/>
    </row>
    <row r="425">
      <c r="B425" s="116"/>
      <c r="G425" s="117"/>
      <c r="H425" s="118"/>
      <c r="J425" s="119"/>
      <c r="K425" s="35"/>
    </row>
    <row r="426">
      <c r="B426" s="116"/>
      <c r="G426" s="117"/>
      <c r="H426" s="118"/>
      <c r="J426" s="119"/>
      <c r="K426" s="35"/>
    </row>
    <row r="427">
      <c r="B427" s="116"/>
      <c r="G427" s="117"/>
      <c r="H427" s="118"/>
      <c r="J427" s="119"/>
      <c r="K427" s="35"/>
    </row>
    <row r="428">
      <c r="B428" s="116"/>
      <c r="G428" s="117"/>
      <c r="H428" s="118"/>
      <c r="J428" s="119"/>
      <c r="K428" s="35"/>
    </row>
    <row r="429">
      <c r="B429" s="116"/>
      <c r="G429" s="117"/>
      <c r="H429" s="118"/>
      <c r="J429" s="119"/>
      <c r="K429" s="35"/>
    </row>
    <row r="430">
      <c r="B430" s="116"/>
      <c r="G430" s="117"/>
      <c r="H430" s="118"/>
      <c r="J430" s="119"/>
      <c r="K430" s="35"/>
    </row>
    <row r="431">
      <c r="B431" s="116"/>
      <c r="G431" s="117"/>
      <c r="H431" s="118"/>
      <c r="J431" s="119"/>
      <c r="K431" s="35"/>
    </row>
    <row r="432">
      <c r="B432" s="116"/>
      <c r="G432" s="117"/>
      <c r="H432" s="118"/>
      <c r="J432" s="119"/>
      <c r="K432" s="35"/>
    </row>
    <row r="433">
      <c r="B433" s="116"/>
      <c r="G433" s="117"/>
      <c r="H433" s="118"/>
      <c r="J433" s="119"/>
      <c r="K433" s="35"/>
    </row>
    <row r="434">
      <c r="B434" s="116"/>
      <c r="G434" s="117"/>
      <c r="H434" s="118"/>
      <c r="J434" s="119"/>
      <c r="K434" s="35"/>
    </row>
    <row r="435">
      <c r="B435" s="116"/>
      <c r="G435" s="117"/>
      <c r="H435" s="118"/>
      <c r="J435" s="119"/>
      <c r="K435" s="35"/>
    </row>
    <row r="436">
      <c r="B436" s="116"/>
      <c r="G436" s="117"/>
      <c r="H436" s="118"/>
      <c r="J436" s="119"/>
      <c r="K436" s="35"/>
    </row>
    <row r="437">
      <c r="B437" s="116"/>
      <c r="G437" s="117"/>
      <c r="H437" s="118"/>
      <c r="J437" s="119"/>
      <c r="K437" s="35"/>
    </row>
    <row r="438">
      <c r="B438" s="116"/>
      <c r="G438" s="117"/>
      <c r="H438" s="118"/>
      <c r="J438" s="119"/>
      <c r="K438" s="35"/>
    </row>
    <row r="439">
      <c r="B439" s="116"/>
      <c r="G439" s="117"/>
      <c r="H439" s="118"/>
      <c r="J439" s="119"/>
      <c r="K439" s="35"/>
    </row>
    <row r="440">
      <c r="B440" s="116"/>
      <c r="G440" s="117"/>
      <c r="H440" s="118"/>
      <c r="J440" s="119"/>
      <c r="K440" s="35"/>
    </row>
    <row r="441">
      <c r="B441" s="116"/>
      <c r="G441" s="117"/>
      <c r="H441" s="118"/>
      <c r="J441" s="119"/>
      <c r="K441" s="35"/>
    </row>
    <row r="442">
      <c r="B442" s="116"/>
      <c r="G442" s="117"/>
      <c r="H442" s="118"/>
      <c r="J442" s="119"/>
      <c r="K442" s="35"/>
    </row>
    <row r="443">
      <c r="B443" s="116"/>
      <c r="G443" s="117"/>
      <c r="H443" s="118"/>
      <c r="J443" s="119"/>
      <c r="K443" s="35"/>
    </row>
    <row r="444">
      <c r="B444" s="116"/>
      <c r="G444" s="117"/>
      <c r="H444" s="118"/>
      <c r="J444" s="119"/>
      <c r="K444" s="35"/>
    </row>
    <row r="445">
      <c r="B445" s="116"/>
      <c r="G445" s="117"/>
      <c r="H445" s="118"/>
      <c r="J445" s="119"/>
      <c r="K445" s="35"/>
    </row>
    <row r="446">
      <c r="B446" s="116"/>
      <c r="G446" s="117"/>
      <c r="H446" s="118"/>
      <c r="J446" s="119"/>
      <c r="K446" s="35"/>
    </row>
    <row r="447">
      <c r="B447" s="116"/>
      <c r="G447" s="117"/>
      <c r="H447" s="118"/>
      <c r="J447" s="119"/>
      <c r="K447" s="35"/>
    </row>
    <row r="448">
      <c r="B448" s="116"/>
      <c r="G448" s="117"/>
      <c r="H448" s="118"/>
      <c r="J448" s="119"/>
      <c r="K448" s="35"/>
    </row>
    <row r="449">
      <c r="B449" s="116"/>
      <c r="G449" s="117"/>
      <c r="H449" s="118"/>
      <c r="J449" s="119"/>
      <c r="K449" s="35"/>
    </row>
    <row r="450">
      <c r="B450" s="116"/>
      <c r="G450" s="117"/>
      <c r="H450" s="118"/>
      <c r="J450" s="119"/>
      <c r="K450" s="35"/>
    </row>
    <row r="451">
      <c r="B451" s="116"/>
      <c r="G451" s="117"/>
      <c r="H451" s="118"/>
      <c r="J451" s="119"/>
      <c r="K451" s="35"/>
    </row>
    <row r="452">
      <c r="B452" s="116"/>
      <c r="G452" s="117"/>
      <c r="H452" s="118"/>
      <c r="J452" s="119"/>
      <c r="K452" s="35"/>
    </row>
    <row r="453">
      <c r="B453" s="116"/>
      <c r="G453" s="117"/>
      <c r="H453" s="118"/>
      <c r="J453" s="119"/>
      <c r="K453" s="35"/>
    </row>
    <row r="454">
      <c r="B454" s="116"/>
      <c r="G454" s="117"/>
      <c r="H454" s="118"/>
      <c r="J454" s="119"/>
      <c r="K454" s="35"/>
    </row>
    <row r="455">
      <c r="B455" s="116"/>
      <c r="G455" s="117"/>
      <c r="H455" s="118"/>
      <c r="J455" s="119"/>
      <c r="K455" s="35"/>
    </row>
    <row r="456">
      <c r="B456" s="116"/>
      <c r="G456" s="117"/>
      <c r="H456" s="118"/>
      <c r="J456" s="119"/>
      <c r="K456" s="35"/>
    </row>
    <row r="457">
      <c r="B457" s="116"/>
      <c r="G457" s="117"/>
      <c r="H457" s="118"/>
      <c r="J457" s="119"/>
      <c r="K457" s="35"/>
    </row>
    <row r="458">
      <c r="B458" s="116"/>
      <c r="G458" s="117"/>
      <c r="H458" s="118"/>
      <c r="J458" s="119"/>
      <c r="K458" s="35"/>
    </row>
    <row r="459">
      <c r="B459" s="116"/>
      <c r="G459" s="117"/>
      <c r="H459" s="118"/>
      <c r="J459" s="119"/>
      <c r="K459" s="35"/>
    </row>
    <row r="460">
      <c r="B460" s="116"/>
      <c r="G460" s="117"/>
      <c r="H460" s="118"/>
      <c r="J460" s="119"/>
      <c r="K460" s="35"/>
    </row>
    <row r="461">
      <c r="B461" s="116"/>
      <c r="G461" s="117"/>
      <c r="H461" s="118"/>
      <c r="J461" s="119"/>
      <c r="K461" s="35"/>
    </row>
    <row r="462">
      <c r="B462" s="116"/>
      <c r="G462" s="117"/>
      <c r="H462" s="118"/>
      <c r="J462" s="119"/>
      <c r="K462" s="35"/>
    </row>
    <row r="463">
      <c r="B463" s="116"/>
      <c r="G463" s="117"/>
      <c r="H463" s="118"/>
      <c r="J463" s="119"/>
      <c r="K463" s="35"/>
    </row>
    <row r="464">
      <c r="B464" s="116"/>
      <c r="G464" s="117"/>
      <c r="H464" s="118"/>
      <c r="J464" s="119"/>
      <c r="K464" s="35"/>
    </row>
    <row r="465">
      <c r="B465" s="116"/>
      <c r="G465" s="117"/>
      <c r="H465" s="118"/>
      <c r="J465" s="119"/>
      <c r="K465" s="35"/>
    </row>
    <row r="466">
      <c r="B466" s="116"/>
      <c r="G466" s="117"/>
      <c r="H466" s="118"/>
      <c r="J466" s="119"/>
      <c r="K466" s="35"/>
    </row>
    <row r="467">
      <c r="B467" s="116"/>
      <c r="G467" s="117"/>
      <c r="H467" s="118"/>
      <c r="J467" s="119"/>
      <c r="K467" s="35"/>
    </row>
    <row r="468">
      <c r="B468" s="116"/>
      <c r="G468" s="117"/>
      <c r="H468" s="118"/>
      <c r="J468" s="119"/>
      <c r="K468" s="35"/>
    </row>
    <row r="469">
      <c r="B469" s="116"/>
      <c r="G469" s="117"/>
      <c r="H469" s="118"/>
      <c r="J469" s="119"/>
      <c r="K469" s="35"/>
    </row>
    <row r="470">
      <c r="B470" s="116"/>
      <c r="G470" s="117"/>
      <c r="H470" s="118"/>
      <c r="J470" s="119"/>
      <c r="K470" s="35"/>
    </row>
    <row r="471">
      <c r="B471" s="116"/>
      <c r="G471" s="117"/>
      <c r="H471" s="118"/>
      <c r="J471" s="119"/>
      <c r="K471" s="35"/>
    </row>
    <row r="472">
      <c r="B472" s="116"/>
      <c r="G472" s="117"/>
      <c r="H472" s="118"/>
      <c r="J472" s="119"/>
      <c r="K472" s="35"/>
    </row>
    <row r="473">
      <c r="B473" s="116"/>
      <c r="G473" s="117"/>
      <c r="H473" s="118"/>
      <c r="J473" s="119"/>
      <c r="K473" s="35"/>
    </row>
    <row r="474">
      <c r="B474" s="116"/>
      <c r="G474" s="117"/>
      <c r="H474" s="118"/>
      <c r="J474" s="119"/>
      <c r="K474" s="35"/>
    </row>
    <row r="475">
      <c r="B475" s="116"/>
      <c r="G475" s="117"/>
      <c r="H475" s="118"/>
      <c r="J475" s="119"/>
      <c r="K475" s="35"/>
    </row>
    <row r="476">
      <c r="B476" s="116"/>
      <c r="G476" s="117"/>
      <c r="H476" s="118"/>
      <c r="J476" s="119"/>
      <c r="K476" s="35"/>
    </row>
    <row r="477">
      <c r="B477" s="116"/>
      <c r="G477" s="117"/>
      <c r="H477" s="118"/>
      <c r="J477" s="119"/>
      <c r="K477" s="35"/>
    </row>
    <row r="478">
      <c r="B478" s="116"/>
      <c r="G478" s="117"/>
      <c r="H478" s="118"/>
      <c r="J478" s="119"/>
      <c r="K478" s="35"/>
    </row>
    <row r="479">
      <c r="B479" s="116"/>
      <c r="G479" s="117"/>
      <c r="H479" s="118"/>
      <c r="J479" s="119"/>
      <c r="K479" s="35"/>
    </row>
    <row r="480">
      <c r="B480" s="116"/>
      <c r="G480" s="117"/>
      <c r="H480" s="118"/>
      <c r="J480" s="119"/>
      <c r="K480" s="35"/>
    </row>
    <row r="481">
      <c r="B481" s="116"/>
      <c r="G481" s="117"/>
      <c r="H481" s="118"/>
      <c r="J481" s="119"/>
      <c r="K481" s="35"/>
    </row>
    <row r="482">
      <c r="B482" s="116"/>
      <c r="G482" s="117"/>
      <c r="H482" s="118"/>
      <c r="J482" s="119"/>
      <c r="K482" s="35"/>
    </row>
    <row r="483">
      <c r="B483" s="116"/>
      <c r="G483" s="117"/>
      <c r="H483" s="118"/>
      <c r="J483" s="119"/>
      <c r="K483" s="35"/>
    </row>
    <row r="484">
      <c r="B484" s="116"/>
      <c r="G484" s="117"/>
      <c r="H484" s="118"/>
      <c r="J484" s="119"/>
      <c r="K484" s="35"/>
    </row>
    <row r="485">
      <c r="B485" s="116"/>
      <c r="G485" s="117"/>
      <c r="H485" s="118"/>
      <c r="J485" s="119"/>
      <c r="K485" s="35"/>
    </row>
    <row r="486">
      <c r="B486" s="116"/>
      <c r="G486" s="117"/>
      <c r="H486" s="118"/>
      <c r="J486" s="119"/>
      <c r="K486" s="35"/>
    </row>
    <row r="487">
      <c r="B487" s="116"/>
      <c r="G487" s="117"/>
      <c r="H487" s="118"/>
      <c r="J487" s="119"/>
      <c r="K487" s="35"/>
    </row>
    <row r="488">
      <c r="B488" s="116"/>
      <c r="G488" s="117"/>
      <c r="H488" s="118"/>
      <c r="J488" s="119"/>
      <c r="K488" s="35"/>
    </row>
    <row r="489">
      <c r="B489" s="116"/>
      <c r="G489" s="117"/>
      <c r="H489" s="118"/>
      <c r="J489" s="119"/>
      <c r="K489" s="35"/>
    </row>
    <row r="490">
      <c r="B490" s="116"/>
      <c r="G490" s="117"/>
      <c r="H490" s="118"/>
      <c r="J490" s="119"/>
      <c r="K490" s="35"/>
    </row>
    <row r="491">
      <c r="B491" s="116"/>
      <c r="G491" s="117"/>
      <c r="H491" s="118"/>
      <c r="J491" s="119"/>
      <c r="K491" s="35"/>
    </row>
    <row r="492">
      <c r="B492" s="116"/>
      <c r="G492" s="117"/>
      <c r="H492" s="118"/>
      <c r="J492" s="119"/>
      <c r="K492" s="35"/>
    </row>
    <row r="493">
      <c r="B493" s="116"/>
      <c r="G493" s="117"/>
      <c r="H493" s="118"/>
      <c r="J493" s="119"/>
      <c r="K493" s="35"/>
    </row>
    <row r="494">
      <c r="B494" s="116"/>
      <c r="G494" s="117"/>
      <c r="H494" s="118"/>
      <c r="J494" s="119"/>
      <c r="K494" s="35"/>
    </row>
    <row r="495">
      <c r="B495" s="116"/>
      <c r="G495" s="117"/>
      <c r="H495" s="118"/>
      <c r="J495" s="119"/>
      <c r="K495" s="35"/>
    </row>
    <row r="496">
      <c r="B496" s="116"/>
      <c r="G496" s="117"/>
      <c r="H496" s="118"/>
      <c r="J496" s="119"/>
      <c r="K496" s="35"/>
    </row>
    <row r="497">
      <c r="B497" s="116"/>
      <c r="G497" s="117"/>
      <c r="H497" s="118"/>
      <c r="J497" s="119"/>
      <c r="K497" s="35"/>
    </row>
    <row r="498">
      <c r="B498" s="116"/>
      <c r="G498" s="117"/>
      <c r="H498" s="118"/>
      <c r="J498" s="119"/>
      <c r="K498" s="35"/>
    </row>
    <row r="499">
      <c r="B499" s="116"/>
      <c r="G499" s="117"/>
      <c r="H499" s="118"/>
      <c r="J499" s="119"/>
      <c r="K499" s="35"/>
    </row>
    <row r="500">
      <c r="B500" s="116"/>
      <c r="G500" s="117"/>
      <c r="H500" s="118"/>
      <c r="J500" s="119"/>
      <c r="K500" s="35"/>
    </row>
    <row r="501">
      <c r="B501" s="116"/>
      <c r="G501" s="117"/>
      <c r="H501" s="118"/>
      <c r="J501" s="119"/>
      <c r="K501" s="35"/>
    </row>
    <row r="502">
      <c r="B502" s="116"/>
      <c r="G502" s="117"/>
      <c r="H502" s="118"/>
      <c r="J502" s="119"/>
      <c r="K502" s="35"/>
    </row>
    <row r="503">
      <c r="B503" s="116"/>
      <c r="G503" s="117"/>
      <c r="H503" s="118"/>
      <c r="J503" s="119"/>
      <c r="K503" s="35"/>
    </row>
    <row r="504">
      <c r="B504" s="116"/>
      <c r="G504" s="117"/>
      <c r="H504" s="118"/>
      <c r="J504" s="119"/>
      <c r="K504" s="35"/>
    </row>
    <row r="505">
      <c r="B505" s="116"/>
      <c r="G505" s="117"/>
      <c r="H505" s="118"/>
      <c r="J505" s="119"/>
      <c r="K505" s="35"/>
    </row>
    <row r="506">
      <c r="B506" s="116"/>
      <c r="G506" s="117"/>
      <c r="H506" s="118"/>
      <c r="J506" s="119"/>
      <c r="K506" s="35"/>
    </row>
    <row r="507">
      <c r="B507" s="116"/>
      <c r="G507" s="117"/>
      <c r="H507" s="118"/>
      <c r="J507" s="119"/>
      <c r="K507" s="35"/>
    </row>
    <row r="508">
      <c r="B508" s="116"/>
      <c r="G508" s="117"/>
      <c r="H508" s="118"/>
      <c r="J508" s="119"/>
      <c r="K508" s="35"/>
    </row>
    <row r="509">
      <c r="B509" s="116"/>
      <c r="G509" s="117"/>
      <c r="H509" s="118"/>
      <c r="J509" s="119"/>
      <c r="K509" s="35"/>
    </row>
    <row r="510">
      <c r="B510" s="116"/>
      <c r="G510" s="117"/>
      <c r="H510" s="118"/>
      <c r="J510" s="119"/>
      <c r="K510" s="35"/>
    </row>
    <row r="511">
      <c r="B511" s="116"/>
      <c r="G511" s="117"/>
      <c r="H511" s="118"/>
      <c r="J511" s="119"/>
      <c r="K511" s="35"/>
    </row>
    <row r="512">
      <c r="B512" s="116"/>
      <c r="G512" s="117"/>
      <c r="H512" s="118"/>
      <c r="J512" s="119"/>
      <c r="K512" s="35"/>
    </row>
    <row r="513">
      <c r="B513" s="116"/>
      <c r="G513" s="117"/>
      <c r="H513" s="118"/>
      <c r="J513" s="119"/>
      <c r="K513" s="35"/>
    </row>
    <row r="514">
      <c r="B514" s="116"/>
      <c r="G514" s="117"/>
      <c r="H514" s="118"/>
      <c r="J514" s="119"/>
      <c r="K514" s="35"/>
    </row>
    <row r="515">
      <c r="B515" s="116"/>
      <c r="G515" s="117"/>
      <c r="H515" s="118"/>
      <c r="J515" s="119"/>
      <c r="K515" s="35"/>
    </row>
    <row r="516">
      <c r="B516" s="116"/>
      <c r="G516" s="117"/>
      <c r="H516" s="118"/>
      <c r="J516" s="119"/>
      <c r="K516" s="35"/>
    </row>
    <row r="517">
      <c r="B517" s="116"/>
      <c r="G517" s="117"/>
      <c r="H517" s="118"/>
      <c r="J517" s="119"/>
      <c r="K517" s="35"/>
    </row>
    <row r="518">
      <c r="B518" s="116"/>
      <c r="G518" s="117"/>
      <c r="H518" s="118"/>
      <c r="J518" s="119"/>
      <c r="K518" s="35"/>
    </row>
    <row r="519">
      <c r="B519" s="116"/>
      <c r="G519" s="117"/>
      <c r="H519" s="118"/>
      <c r="J519" s="119"/>
      <c r="K519" s="35"/>
    </row>
    <row r="520">
      <c r="B520" s="116"/>
      <c r="G520" s="117"/>
      <c r="H520" s="118"/>
      <c r="J520" s="119"/>
      <c r="K520" s="35"/>
    </row>
    <row r="521">
      <c r="B521" s="116"/>
      <c r="G521" s="117"/>
      <c r="H521" s="118"/>
      <c r="J521" s="119"/>
      <c r="K521" s="35"/>
    </row>
    <row r="522">
      <c r="B522" s="116"/>
      <c r="G522" s="117"/>
      <c r="H522" s="118"/>
      <c r="J522" s="119"/>
      <c r="K522" s="35"/>
    </row>
    <row r="523">
      <c r="B523" s="116"/>
      <c r="G523" s="117"/>
      <c r="H523" s="118"/>
      <c r="J523" s="119"/>
      <c r="K523" s="35"/>
    </row>
    <row r="524">
      <c r="B524" s="116"/>
      <c r="G524" s="117"/>
      <c r="H524" s="118"/>
      <c r="J524" s="119"/>
      <c r="K524" s="35"/>
    </row>
    <row r="525">
      <c r="B525" s="116"/>
      <c r="G525" s="117"/>
      <c r="H525" s="118"/>
      <c r="J525" s="119"/>
      <c r="K525" s="35"/>
    </row>
    <row r="526">
      <c r="B526" s="116"/>
      <c r="G526" s="117"/>
      <c r="H526" s="118"/>
      <c r="J526" s="119"/>
      <c r="K526" s="35"/>
    </row>
    <row r="527">
      <c r="B527" s="116"/>
      <c r="G527" s="117"/>
      <c r="H527" s="118"/>
      <c r="J527" s="119"/>
      <c r="K527" s="35"/>
    </row>
    <row r="528">
      <c r="B528" s="116"/>
      <c r="G528" s="117"/>
      <c r="H528" s="118"/>
      <c r="J528" s="119"/>
      <c r="K528" s="35"/>
    </row>
    <row r="529">
      <c r="B529" s="116"/>
      <c r="G529" s="117"/>
      <c r="H529" s="118"/>
      <c r="J529" s="119"/>
      <c r="K529" s="35"/>
    </row>
    <row r="530">
      <c r="B530" s="116"/>
      <c r="G530" s="117"/>
      <c r="H530" s="118"/>
      <c r="J530" s="119"/>
      <c r="K530" s="35"/>
    </row>
    <row r="531">
      <c r="B531" s="116"/>
      <c r="G531" s="117"/>
      <c r="H531" s="118"/>
      <c r="J531" s="119"/>
      <c r="K531" s="35"/>
    </row>
    <row r="532">
      <c r="B532" s="116"/>
      <c r="G532" s="117"/>
      <c r="H532" s="118"/>
      <c r="J532" s="119"/>
      <c r="K532" s="35"/>
    </row>
    <row r="533">
      <c r="B533" s="116"/>
      <c r="G533" s="117"/>
      <c r="H533" s="118"/>
      <c r="J533" s="119"/>
      <c r="K533" s="35"/>
    </row>
    <row r="534">
      <c r="B534" s="116"/>
      <c r="G534" s="117"/>
      <c r="H534" s="118"/>
      <c r="J534" s="119"/>
      <c r="K534" s="35"/>
    </row>
    <row r="535">
      <c r="B535" s="116"/>
      <c r="G535" s="117"/>
      <c r="H535" s="118"/>
      <c r="J535" s="119"/>
      <c r="K535" s="35"/>
    </row>
    <row r="536">
      <c r="B536" s="116"/>
      <c r="G536" s="117"/>
      <c r="H536" s="118"/>
      <c r="J536" s="119"/>
      <c r="K536" s="35"/>
    </row>
    <row r="537">
      <c r="B537" s="116"/>
      <c r="G537" s="117"/>
      <c r="H537" s="118"/>
      <c r="J537" s="119"/>
      <c r="K537" s="35"/>
    </row>
    <row r="538">
      <c r="B538" s="116"/>
      <c r="G538" s="117"/>
      <c r="H538" s="118"/>
      <c r="J538" s="119"/>
      <c r="K538" s="35"/>
    </row>
    <row r="539">
      <c r="B539" s="116"/>
      <c r="G539" s="117"/>
      <c r="H539" s="118"/>
      <c r="J539" s="119"/>
      <c r="K539" s="35"/>
    </row>
    <row r="540">
      <c r="B540" s="116"/>
      <c r="G540" s="117"/>
      <c r="H540" s="118"/>
      <c r="J540" s="119"/>
      <c r="K540" s="35"/>
    </row>
    <row r="541">
      <c r="B541" s="116"/>
      <c r="G541" s="117"/>
      <c r="H541" s="118"/>
      <c r="J541" s="119"/>
      <c r="K541" s="35"/>
    </row>
    <row r="542">
      <c r="B542" s="116"/>
      <c r="G542" s="117"/>
      <c r="H542" s="118"/>
      <c r="J542" s="119"/>
      <c r="K542" s="35"/>
    </row>
    <row r="543">
      <c r="B543" s="116"/>
      <c r="G543" s="117"/>
      <c r="H543" s="118"/>
      <c r="J543" s="119"/>
      <c r="K543" s="35"/>
    </row>
    <row r="544">
      <c r="B544" s="116"/>
      <c r="G544" s="117"/>
      <c r="H544" s="118"/>
      <c r="J544" s="119"/>
      <c r="K544" s="35"/>
    </row>
    <row r="545">
      <c r="B545" s="116"/>
      <c r="G545" s="117"/>
      <c r="H545" s="118"/>
      <c r="J545" s="119"/>
      <c r="K545" s="35"/>
    </row>
    <row r="546">
      <c r="B546" s="116"/>
      <c r="G546" s="117"/>
      <c r="H546" s="118"/>
      <c r="J546" s="119"/>
      <c r="K546" s="35"/>
    </row>
    <row r="547">
      <c r="B547" s="116"/>
      <c r="G547" s="117"/>
      <c r="H547" s="118"/>
      <c r="J547" s="119"/>
      <c r="K547" s="35"/>
    </row>
    <row r="548">
      <c r="B548" s="116"/>
      <c r="G548" s="117"/>
      <c r="H548" s="118"/>
      <c r="J548" s="119"/>
      <c r="K548" s="35"/>
    </row>
    <row r="549">
      <c r="B549" s="116"/>
      <c r="G549" s="117"/>
      <c r="H549" s="118"/>
      <c r="J549" s="119"/>
      <c r="K549" s="35"/>
    </row>
    <row r="550">
      <c r="B550" s="116"/>
      <c r="G550" s="117"/>
      <c r="H550" s="118"/>
      <c r="J550" s="119"/>
      <c r="K550" s="35"/>
    </row>
    <row r="551">
      <c r="B551" s="116"/>
      <c r="G551" s="117"/>
      <c r="H551" s="118"/>
      <c r="J551" s="119"/>
      <c r="K551" s="35"/>
    </row>
    <row r="552">
      <c r="B552" s="116"/>
      <c r="G552" s="117"/>
      <c r="H552" s="118"/>
      <c r="J552" s="119"/>
      <c r="K552" s="35"/>
    </row>
    <row r="553">
      <c r="B553" s="116"/>
      <c r="G553" s="117"/>
      <c r="H553" s="118"/>
      <c r="J553" s="119"/>
      <c r="K553" s="35"/>
    </row>
    <row r="554">
      <c r="B554" s="116"/>
      <c r="G554" s="117"/>
      <c r="H554" s="118"/>
      <c r="J554" s="119"/>
      <c r="K554" s="35"/>
    </row>
    <row r="555">
      <c r="B555" s="116"/>
      <c r="G555" s="117"/>
      <c r="H555" s="118"/>
      <c r="J555" s="119"/>
      <c r="K555" s="35"/>
    </row>
    <row r="556">
      <c r="B556" s="116"/>
      <c r="G556" s="117"/>
      <c r="H556" s="118"/>
      <c r="J556" s="119"/>
      <c r="K556" s="35"/>
    </row>
    <row r="557">
      <c r="B557" s="116"/>
      <c r="G557" s="117"/>
      <c r="H557" s="118"/>
      <c r="J557" s="119"/>
      <c r="K557" s="35"/>
    </row>
    <row r="558">
      <c r="B558" s="116"/>
      <c r="G558" s="117"/>
      <c r="H558" s="118"/>
      <c r="J558" s="119"/>
      <c r="K558" s="35"/>
    </row>
    <row r="559">
      <c r="B559" s="116"/>
      <c r="G559" s="117"/>
      <c r="H559" s="118"/>
      <c r="J559" s="119"/>
      <c r="K559" s="35"/>
    </row>
    <row r="560">
      <c r="B560" s="116"/>
      <c r="G560" s="117"/>
      <c r="H560" s="118"/>
      <c r="J560" s="119"/>
      <c r="K560" s="35"/>
    </row>
    <row r="561">
      <c r="B561" s="116"/>
      <c r="G561" s="117"/>
      <c r="H561" s="118"/>
      <c r="J561" s="119"/>
      <c r="K561" s="35"/>
    </row>
    <row r="562">
      <c r="B562" s="116"/>
      <c r="G562" s="117"/>
      <c r="H562" s="118"/>
      <c r="J562" s="119"/>
      <c r="K562" s="35"/>
    </row>
    <row r="563">
      <c r="B563" s="116"/>
      <c r="G563" s="117"/>
      <c r="H563" s="118"/>
      <c r="J563" s="119"/>
      <c r="K563" s="35"/>
    </row>
    <row r="564">
      <c r="B564" s="116"/>
      <c r="G564" s="117"/>
      <c r="H564" s="118"/>
      <c r="J564" s="119"/>
      <c r="K564" s="35"/>
    </row>
    <row r="565">
      <c r="B565" s="116"/>
      <c r="G565" s="117"/>
      <c r="H565" s="118"/>
      <c r="J565" s="119"/>
      <c r="K565" s="35"/>
    </row>
    <row r="566">
      <c r="B566" s="116"/>
      <c r="G566" s="117"/>
      <c r="H566" s="118"/>
      <c r="J566" s="119"/>
      <c r="K566" s="35"/>
    </row>
    <row r="567">
      <c r="B567" s="116"/>
      <c r="G567" s="117"/>
      <c r="H567" s="118"/>
      <c r="J567" s="119"/>
      <c r="K567" s="35"/>
    </row>
    <row r="568">
      <c r="B568" s="116"/>
      <c r="G568" s="117"/>
      <c r="H568" s="118"/>
      <c r="J568" s="119"/>
      <c r="K568" s="35"/>
    </row>
    <row r="569">
      <c r="B569" s="116"/>
      <c r="G569" s="117"/>
      <c r="H569" s="118"/>
      <c r="J569" s="119"/>
      <c r="K569" s="35"/>
    </row>
    <row r="570">
      <c r="B570" s="116"/>
      <c r="G570" s="117"/>
      <c r="H570" s="118"/>
      <c r="J570" s="119"/>
      <c r="K570" s="35"/>
    </row>
    <row r="571">
      <c r="B571" s="116"/>
      <c r="G571" s="117"/>
      <c r="H571" s="118"/>
      <c r="J571" s="119"/>
      <c r="K571" s="35"/>
    </row>
    <row r="572">
      <c r="B572" s="116"/>
      <c r="G572" s="117"/>
      <c r="H572" s="118"/>
      <c r="J572" s="119"/>
      <c r="K572" s="35"/>
    </row>
    <row r="573">
      <c r="B573" s="116"/>
      <c r="G573" s="117"/>
      <c r="H573" s="118"/>
      <c r="J573" s="119"/>
      <c r="K573" s="35"/>
    </row>
    <row r="574">
      <c r="B574" s="116"/>
      <c r="G574" s="117"/>
      <c r="H574" s="118"/>
      <c r="J574" s="119"/>
      <c r="K574" s="35"/>
    </row>
    <row r="575">
      <c r="B575" s="116"/>
      <c r="G575" s="117"/>
      <c r="H575" s="118"/>
      <c r="J575" s="119"/>
      <c r="K575" s="35"/>
    </row>
    <row r="576">
      <c r="B576" s="116"/>
      <c r="G576" s="117"/>
      <c r="H576" s="118"/>
      <c r="J576" s="119"/>
      <c r="K576" s="35"/>
    </row>
    <row r="577">
      <c r="B577" s="116"/>
      <c r="G577" s="117"/>
      <c r="H577" s="118"/>
      <c r="J577" s="119"/>
      <c r="K577" s="35"/>
    </row>
    <row r="578">
      <c r="B578" s="116"/>
      <c r="G578" s="117"/>
      <c r="H578" s="118"/>
      <c r="J578" s="119"/>
      <c r="K578" s="35"/>
    </row>
    <row r="579">
      <c r="B579" s="116"/>
      <c r="G579" s="117"/>
      <c r="H579" s="118"/>
      <c r="J579" s="119"/>
      <c r="K579" s="35"/>
    </row>
    <row r="580">
      <c r="B580" s="116"/>
      <c r="G580" s="117"/>
      <c r="H580" s="118"/>
      <c r="J580" s="119"/>
      <c r="K580" s="35"/>
    </row>
    <row r="581">
      <c r="B581" s="116"/>
      <c r="G581" s="117"/>
      <c r="H581" s="118"/>
      <c r="J581" s="119"/>
      <c r="K581" s="35"/>
    </row>
    <row r="582">
      <c r="B582" s="116"/>
      <c r="G582" s="117"/>
      <c r="H582" s="118"/>
      <c r="J582" s="119"/>
      <c r="K582" s="35"/>
    </row>
    <row r="583">
      <c r="B583" s="116"/>
      <c r="G583" s="117"/>
      <c r="H583" s="118"/>
      <c r="J583" s="119"/>
      <c r="K583" s="35"/>
    </row>
    <row r="584">
      <c r="B584" s="116"/>
      <c r="G584" s="117"/>
      <c r="H584" s="118"/>
      <c r="J584" s="119"/>
      <c r="K584" s="35"/>
    </row>
    <row r="585">
      <c r="B585" s="116"/>
      <c r="G585" s="117"/>
      <c r="H585" s="118"/>
      <c r="J585" s="119"/>
      <c r="K585" s="35"/>
    </row>
    <row r="586">
      <c r="B586" s="116"/>
      <c r="G586" s="117"/>
      <c r="H586" s="118"/>
      <c r="J586" s="119"/>
      <c r="K586" s="35"/>
    </row>
    <row r="587">
      <c r="B587" s="116"/>
      <c r="G587" s="117"/>
      <c r="H587" s="118"/>
      <c r="J587" s="119"/>
      <c r="K587" s="35"/>
    </row>
    <row r="588">
      <c r="B588" s="116"/>
      <c r="G588" s="117"/>
      <c r="H588" s="118"/>
      <c r="J588" s="119"/>
      <c r="K588" s="35"/>
    </row>
    <row r="589">
      <c r="B589" s="116"/>
      <c r="G589" s="117"/>
      <c r="H589" s="118"/>
      <c r="J589" s="119"/>
      <c r="K589" s="35"/>
    </row>
    <row r="590">
      <c r="B590" s="116"/>
      <c r="G590" s="117"/>
      <c r="H590" s="118"/>
      <c r="J590" s="119"/>
      <c r="K590" s="35"/>
    </row>
    <row r="591">
      <c r="B591" s="116"/>
      <c r="G591" s="117"/>
      <c r="H591" s="118"/>
      <c r="J591" s="119"/>
      <c r="K591" s="35"/>
    </row>
    <row r="592">
      <c r="B592" s="116"/>
      <c r="G592" s="117"/>
      <c r="H592" s="118"/>
      <c r="J592" s="119"/>
      <c r="K592" s="35"/>
    </row>
    <row r="593">
      <c r="B593" s="116"/>
      <c r="G593" s="117"/>
      <c r="H593" s="118"/>
      <c r="J593" s="119"/>
      <c r="K593" s="35"/>
    </row>
    <row r="594">
      <c r="B594" s="116"/>
      <c r="G594" s="117"/>
      <c r="H594" s="118"/>
      <c r="J594" s="119"/>
      <c r="K594" s="35"/>
    </row>
    <row r="595">
      <c r="B595" s="116"/>
      <c r="G595" s="117"/>
      <c r="H595" s="118"/>
      <c r="J595" s="119"/>
      <c r="K595" s="35"/>
    </row>
    <row r="596">
      <c r="B596" s="116"/>
      <c r="G596" s="117"/>
      <c r="H596" s="118"/>
      <c r="J596" s="119"/>
      <c r="K596" s="35"/>
    </row>
    <row r="597">
      <c r="B597" s="116"/>
      <c r="G597" s="117"/>
      <c r="H597" s="118"/>
      <c r="J597" s="119"/>
      <c r="K597" s="35"/>
    </row>
    <row r="598">
      <c r="B598" s="116"/>
      <c r="G598" s="117"/>
      <c r="H598" s="118"/>
      <c r="J598" s="119"/>
      <c r="K598" s="35"/>
    </row>
    <row r="599">
      <c r="B599" s="116"/>
      <c r="G599" s="117"/>
      <c r="H599" s="118"/>
      <c r="J599" s="119"/>
      <c r="K599" s="35"/>
    </row>
    <row r="600">
      <c r="B600" s="116"/>
      <c r="G600" s="117"/>
      <c r="H600" s="118"/>
      <c r="J600" s="119"/>
      <c r="K600" s="35"/>
    </row>
    <row r="601">
      <c r="B601" s="116"/>
      <c r="G601" s="117"/>
      <c r="H601" s="118"/>
      <c r="J601" s="119"/>
      <c r="K601" s="35"/>
    </row>
    <row r="602">
      <c r="B602" s="116"/>
      <c r="G602" s="117"/>
      <c r="H602" s="118"/>
      <c r="J602" s="119"/>
      <c r="K602" s="35"/>
    </row>
    <row r="603">
      <c r="B603" s="116"/>
      <c r="G603" s="117"/>
      <c r="H603" s="118"/>
      <c r="J603" s="119"/>
      <c r="K603" s="35"/>
    </row>
    <row r="604">
      <c r="B604" s="116"/>
      <c r="G604" s="117"/>
      <c r="H604" s="118"/>
      <c r="J604" s="119"/>
      <c r="K604" s="35"/>
    </row>
    <row r="605">
      <c r="B605" s="116"/>
      <c r="G605" s="117"/>
      <c r="H605" s="118"/>
      <c r="J605" s="119"/>
      <c r="K605" s="35"/>
    </row>
    <row r="606">
      <c r="B606" s="116"/>
      <c r="G606" s="117"/>
      <c r="H606" s="118"/>
      <c r="J606" s="119"/>
      <c r="K606" s="35"/>
    </row>
    <row r="607">
      <c r="B607" s="116"/>
      <c r="G607" s="117"/>
      <c r="H607" s="118"/>
      <c r="J607" s="119"/>
      <c r="K607" s="35"/>
    </row>
    <row r="608">
      <c r="B608" s="116"/>
      <c r="G608" s="117"/>
      <c r="H608" s="118"/>
      <c r="J608" s="119"/>
      <c r="K608" s="35"/>
    </row>
    <row r="609">
      <c r="B609" s="116"/>
      <c r="G609" s="117"/>
      <c r="H609" s="118"/>
      <c r="J609" s="119"/>
      <c r="K609" s="35"/>
    </row>
    <row r="610">
      <c r="B610" s="116"/>
      <c r="G610" s="117"/>
      <c r="H610" s="118"/>
      <c r="J610" s="119"/>
      <c r="K610" s="35"/>
    </row>
    <row r="611">
      <c r="B611" s="116"/>
      <c r="G611" s="117"/>
      <c r="H611" s="118"/>
      <c r="J611" s="119"/>
      <c r="K611" s="35"/>
    </row>
    <row r="612">
      <c r="B612" s="116"/>
      <c r="G612" s="117"/>
      <c r="H612" s="118"/>
      <c r="J612" s="119"/>
      <c r="K612" s="35"/>
    </row>
    <row r="613">
      <c r="B613" s="116"/>
      <c r="G613" s="117"/>
      <c r="H613" s="118"/>
      <c r="J613" s="119"/>
      <c r="K613" s="35"/>
    </row>
    <row r="614">
      <c r="B614" s="116"/>
      <c r="G614" s="117"/>
      <c r="H614" s="118"/>
      <c r="J614" s="119"/>
      <c r="K614" s="35"/>
    </row>
    <row r="615">
      <c r="B615" s="116"/>
      <c r="G615" s="117"/>
      <c r="H615" s="118"/>
      <c r="J615" s="119"/>
      <c r="K615" s="35"/>
    </row>
    <row r="616">
      <c r="B616" s="116"/>
      <c r="G616" s="117"/>
      <c r="H616" s="118"/>
      <c r="J616" s="119"/>
      <c r="K616" s="35"/>
    </row>
    <row r="617">
      <c r="B617" s="116"/>
      <c r="G617" s="117"/>
      <c r="H617" s="118"/>
      <c r="J617" s="119"/>
      <c r="K617" s="35"/>
    </row>
    <row r="618">
      <c r="B618" s="116"/>
      <c r="G618" s="117"/>
      <c r="H618" s="118"/>
      <c r="J618" s="119"/>
      <c r="K618" s="35"/>
    </row>
    <row r="619">
      <c r="B619" s="116"/>
      <c r="G619" s="117"/>
      <c r="H619" s="118"/>
      <c r="J619" s="119"/>
      <c r="K619" s="35"/>
    </row>
    <row r="620">
      <c r="B620" s="116"/>
      <c r="G620" s="117"/>
      <c r="H620" s="118"/>
      <c r="J620" s="119"/>
      <c r="K620" s="35"/>
    </row>
    <row r="621">
      <c r="B621" s="116"/>
      <c r="G621" s="117"/>
      <c r="H621" s="118"/>
      <c r="J621" s="119"/>
      <c r="K621" s="35"/>
    </row>
    <row r="622">
      <c r="B622" s="116"/>
      <c r="G622" s="117"/>
      <c r="H622" s="118"/>
      <c r="J622" s="119"/>
      <c r="K622" s="35"/>
    </row>
    <row r="623">
      <c r="B623" s="116"/>
      <c r="G623" s="117"/>
      <c r="H623" s="118"/>
      <c r="J623" s="119"/>
      <c r="K623" s="35"/>
    </row>
    <row r="624">
      <c r="B624" s="116"/>
      <c r="G624" s="117"/>
      <c r="H624" s="118"/>
      <c r="J624" s="119"/>
      <c r="K624" s="35"/>
    </row>
    <row r="625">
      <c r="B625" s="116"/>
      <c r="G625" s="117"/>
      <c r="H625" s="118"/>
      <c r="J625" s="119"/>
      <c r="K625" s="35"/>
    </row>
    <row r="626">
      <c r="B626" s="116"/>
      <c r="G626" s="117"/>
      <c r="H626" s="118"/>
      <c r="J626" s="119"/>
      <c r="K626" s="35"/>
    </row>
    <row r="627">
      <c r="B627" s="116"/>
      <c r="G627" s="117"/>
      <c r="H627" s="118"/>
      <c r="J627" s="119"/>
      <c r="K627" s="35"/>
    </row>
    <row r="628">
      <c r="B628" s="116"/>
      <c r="G628" s="117"/>
      <c r="H628" s="118"/>
      <c r="J628" s="119"/>
      <c r="K628" s="35"/>
    </row>
    <row r="629">
      <c r="B629" s="116"/>
      <c r="G629" s="117"/>
      <c r="H629" s="118"/>
      <c r="J629" s="119"/>
      <c r="K629" s="35"/>
    </row>
    <row r="630">
      <c r="B630" s="116"/>
      <c r="G630" s="117"/>
      <c r="H630" s="118"/>
      <c r="J630" s="119"/>
      <c r="K630" s="35"/>
    </row>
    <row r="631">
      <c r="B631" s="116"/>
      <c r="G631" s="117"/>
      <c r="H631" s="118"/>
      <c r="J631" s="119"/>
      <c r="K631" s="35"/>
    </row>
    <row r="632">
      <c r="B632" s="116"/>
      <c r="G632" s="117"/>
      <c r="H632" s="118"/>
      <c r="J632" s="119"/>
      <c r="K632" s="35"/>
    </row>
    <row r="633">
      <c r="B633" s="116"/>
      <c r="G633" s="117"/>
      <c r="H633" s="118"/>
      <c r="J633" s="119"/>
      <c r="K633" s="35"/>
    </row>
    <row r="634">
      <c r="B634" s="116"/>
      <c r="G634" s="117"/>
      <c r="H634" s="118"/>
      <c r="J634" s="119"/>
      <c r="K634" s="35"/>
    </row>
    <row r="635">
      <c r="B635" s="116"/>
      <c r="G635" s="117"/>
      <c r="H635" s="118"/>
      <c r="J635" s="119"/>
      <c r="K635" s="35"/>
    </row>
    <row r="636">
      <c r="B636" s="116"/>
      <c r="G636" s="117"/>
      <c r="H636" s="118"/>
      <c r="J636" s="119"/>
      <c r="K636" s="35"/>
    </row>
    <row r="637">
      <c r="B637" s="116"/>
      <c r="G637" s="117"/>
      <c r="H637" s="118"/>
      <c r="J637" s="119"/>
      <c r="K637" s="35"/>
    </row>
    <row r="638">
      <c r="B638" s="116"/>
      <c r="G638" s="117"/>
      <c r="H638" s="118"/>
      <c r="J638" s="119"/>
      <c r="K638" s="35"/>
    </row>
    <row r="639">
      <c r="B639" s="116"/>
      <c r="G639" s="117"/>
      <c r="H639" s="118"/>
      <c r="J639" s="119"/>
      <c r="K639" s="35"/>
    </row>
    <row r="640">
      <c r="B640" s="116"/>
      <c r="G640" s="117"/>
      <c r="H640" s="118"/>
      <c r="J640" s="119"/>
      <c r="K640" s="35"/>
    </row>
    <row r="641">
      <c r="B641" s="116"/>
      <c r="G641" s="117"/>
      <c r="H641" s="118"/>
      <c r="J641" s="119"/>
      <c r="K641" s="35"/>
    </row>
    <row r="642">
      <c r="B642" s="116"/>
      <c r="G642" s="117"/>
      <c r="H642" s="118"/>
      <c r="J642" s="119"/>
      <c r="K642" s="35"/>
    </row>
    <row r="643">
      <c r="B643" s="116"/>
      <c r="G643" s="117"/>
      <c r="H643" s="118"/>
      <c r="J643" s="119"/>
      <c r="K643" s="35"/>
    </row>
    <row r="644">
      <c r="B644" s="116"/>
      <c r="G644" s="117"/>
      <c r="H644" s="118"/>
      <c r="J644" s="119"/>
      <c r="K644" s="35"/>
    </row>
    <row r="645">
      <c r="B645" s="116"/>
      <c r="G645" s="117"/>
      <c r="H645" s="118"/>
      <c r="J645" s="119"/>
      <c r="K645" s="35"/>
    </row>
    <row r="646">
      <c r="B646" s="116"/>
      <c r="G646" s="117"/>
      <c r="H646" s="118"/>
      <c r="J646" s="119"/>
      <c r="K646" s="35"/>
    </row>
    <row r="647">
      <c r="B647" s="116"/>
      <c r="G647" s="117"/>
      <c r="H647" s="118"/>
      <c r="J647" s="119"/>
      <c r="K647" s="35"/>
    </row>
    <row r="648">
      <c r="B648" s="116"/>
      <c r="G648" s="117"/>
      <c r="H648" s="118"/>
      <c r="J648" s="119"/>
      <c r="K648" s="35"/>
    </row>
    <row r="649">
      <c r="B649" s="116"/>
      <c r="G649" s="117"/>
      <c r="H649" s="118"/>
      <c r="J649" s="119"/>
      <c r="K649" s="35"/>
    </row>
    <row r="650">
      <c r="B650" s="116"/>
      <c r="G650" s="117"/>
      <c r="H650" s="118"/>
      <c r="J650" s="119"/>
      <c r="K650" s="35"/>
    </row>
    <row r="651">
      <c r="B651" s="116"/>
      <c r="G651" s="117"/>
      <c r="H651" s="118"/>
      <c r="J651" s="119"/>
      <c r="K651" s="35"/>
    </row>
    <row r="652">
      <c r="B652" s="116"/>
      <c r="G652" s="117"/>
      <c r="H652" s="118"/>
      <c r="J652" s="119"/>
      <c r="K652" s="35"/>
    </row>
    <row r="653">
      <c r="B653" s="116"/>
      <c r="G653" s="117"/>
      <c r="H653" s="118"/>
      <c r="J653" s="119"/>
      <c r="K653" s="35"/>
    </row>
    <row r="654">
      <c r="B654" s="116"/>
      <c r="G654" s="117"/>
      <c r="H654" s="118"/>
      <c r="J654" s="119"/>
      <c r="K654" s="35"/>
    </row>
    <row r="655">
      <c r="B655" s="116"/>
      <c r="G655" s="117"/>
      <c r="H655" s="118"/>
      <c r="J655" s="119"/>
      <c r="K655" s="35"/>
    </row>
    <row r="656">
      <c r="B656" s="116"/>
      <c r="G656" s="117"/>
      <c r="H656" s="118"/>
      <c r="J656" s="119"/>
      <c r="K656" s="35"/>
    </row>
    <row r="657">
      <c r="B657" s="116"/>
      <c r="G657" s="117"/>
      <c r="H657" s="118"/>
      <c r="J657" s="119"/>
      <c r="K657" s="35"/>
    </row>
    <row r="658">
      <c r="B658" s="116"/>
      <c r="G658" s="117"/>
      <c r="H658" s="118"/>
      <c r="J658" s="119"/>
      <c r="K658" s="35"/>
    </row>
    <row r="659">
      <c r="B659" s="116"/>
      <c r="G659" s="117"/>
      <c r="H659" s="118"/>
      <c r="J659" s="119"/>
      <c r="K659" s="35"/>
    </row>
    <row r="660">
      <c r="B660" s="116"/>
      <c r="G660" s="117"/>
      <c r="H660" s="118"/>
      <c r="J660" s="119"/>
      <c r="K660" s="35"/>
    </row>
    <row r="661">
      <c r="B661" s="116"/>
      <c r="G661" s="117"/>
      <c r="H661" s="118"/>
      <c r="J661" s="119"/>
      <c r="K661" s="35"/>
    </row>
    <row r="662">
      <c r="B662" s="116"/>
      <c r="G662" s="117"/>
      <c r="H662" s="118"/>
      <c r="J662" s="119"/>
      <c r="K662" s="35"/>
    </row>
    <row r="663">
      <c r="B663" s="116"/>
      <c r="G663" s="117"/>
      <c r="H663" s="118"/>
      <c r="J663" s="119"/>
      <c r="K663" s="35"/>
    </row>
    <row r="664">
      <c r="B664" s="116"/>
      <c r="G664" s="117"/>
      <c r="H664" s="118"/>
      <c r="J664" s="119"/>
      <c r="K664" s="35"/>
    </row>
    <row r="665">
      <c r="B665" s="116"/>
      <c r="G665" s="117"/>
      <c r="H665" s="118"/>
      <c r="J665" s="119"/>
      <c r="K665" s="35"/>
    </row>
    <row r="666">
      <c r="B666" s="116"/>
      <c r="G666" s="117"/>
      <c r="H666" s="118"/>
      <c r="J666" s="119"/>
      <c r="K666" s="35"/>
    </row>
    <row r="667">
      <c r="B667" s="116"/>
      <c r="G667" s="117"/>
      <c r="H667" s="118"/>
      <c r="J667" s="119"/>
      <c r="K667" s="35"/>
    </row>
    <row r="668">
      <c r="B668" s="116"/>
      <c r="G668" s="117"/>
      <c r="H668" s="118"/>
      <c r="J668" s="119"/>
      <c r="K668" s="35"/>
    </row>
    <row r="669">
      <c r="B669" s="116"/>
      <c r="G669" s="117"/>
      <c r="H669" s="118"/>
      <c r="J669" s="119"/>
      <c r="K669" s="35"/>
    </row>
    <row r="670">
      <c r="B670" s="116"/>
      <c r="G670" s="117"/>
      <c r="H670" s="118"/>
      <c r="J670" s="119"/>
      <c r="K670" s="35"/>
    </row>
    <row r="671">
      <c r="B671" s="116"/>
      <c r="G671" s="117"/>
      <c r="H671" s="118"/>
      <c r="J671" s="119"/>
      <c r="K671" s="35"/>
    </row>
    <row r="672">
      <c r="B672" s="116"/>
      <c r="G672" s="117"/>
      <c r="H672" s="118"/>
      <c r="J672" s="119"/>
      <c r="K672" s="35"/>
    </row>
    <row r="673">
      <c r="B673" s="116"/>
      <c r="G673" s="117"/>
      <c r="H673" s="118"/>
      <c r="J673" s="119"/>
      <c r="K673" s="35"/>
    </row>
    <row r="674">
      <c r="B674" s="116"/>
      <c r="G674" s="117"/>
      <c r="H674" s="118"/>
      <c r="J674" s="119"/>
      <c r="K674" s="35"/>
    </row>
    <row r="675">
      <c r="B675" s="116"/>
      <c r="G675" s="117"/>
      <c r="H675" s="118"/>
      <c r="J675" s="119"/>
      <c r="K675" s="35"/>
    </row>
    <row r="676">
      <c r="B676" s="116"/>
      <c r="G676" s="117"/>
      <c r="H676" s="118"/>
      <c r="J676" s="119"/>
      <c r="K676" s="35"/>
    </row>
    <row r="677">
      <c r="B677" s="116"/>
      <c r="G677" s="117"/>
      <c r="H677" s="118"/>
      <c r="J677" s="119"/>
      <c r="K677" s="35"/>
    </row>
    <row r="678">
      <c r="B678" s="116"/>
      <c r="G678" s="117"/>
      <c r="H678" s="118"/>
      <c r="J678" s="119"/>
      <c r="K678" s="35"/>
    </row>
    <row r="679">
      <c r="B679" s="116"/>
      <c r="G679" s="117"/>
      <c r="H679" s="118"/>
      <c r="J679" s="119"/>
      <c r="K679" s="35"/>
    </row>
    <row r="680">
      <c r="B680" s="116"/>
      <c r="G680" s="117"/>
      <c r="H680" s="118"/>
      <c r="J680" s="119"/>
      <c r="K680" s="35"/>
    </row>
    <row r="681">
      <c r="B681" s="116"/>
      <c r="G681" s="117"/>
      <c r="H681" s="118"/>
      <c r="J681" s="119"/>
      <c r="K681" s="35"/>
    </row>
    <row r="682">
      <c r="B682" s="116"/>
      <c r="G682" s="117"/>
      <c r="H682" s="118"/>
      <c r="J682" s="119"/>
      <c r="K682" s="35"/>
    </row>
    <row r="683">
      <c r="B683" s="116"/>
      <c r="G683" s="117"/>
      <c r="H683" s="118"/>
      <c r="J683" s="119"/>
      <c r="K683" s="35"/>
    </row>
    <row r="684">
      <c r="B684" s="116"/>
      <c r="G684" s="117"/>
      <c r="H684" s="118"/>
      <c r="J684" s="119"/>
      <c r="K684" s="35"/>
    </row>
    <row r="685">
      <c r="B685" s="116"/>
      <c r="G685" s="117"/>
      <c r="H685" s="118"/>
      <c r="J685" s="119"/>
      <c r="K685" s="35"/>
    </row>
    <row r="686">
      <c r="B686" s="116"/>
      <c r="G686" s="117"/>
      <c r="H686" s="118"/>
      <c r="J686" s="119"/>
      <c r="K686" s="35"/>
    </row>
    <row r="687">
      <c r="B687" s="116"/>
      <c r="G687" s="117"/>
      <c r="H687" s="118"/>
      <c r="J687" s="119"/>
      <c r="K687" s="35"/>
    </row>
    <row r="688">
      <c r="B688" s="116"/>
      <c r="G688" s="117"/>
      <c r="H688" s="118"/>
      <c r="J688" s="119"/>
      <c r="K688" s="35"/>
    </row>
    <row r="689">
      <c r="B689" s="116"/>
      <c r="G689" s="117"/>
      <c r="H689" s="118"/>
      <c r="J689" s="119"/>
      <c r="K689" s="35"/>
    </row>
    <row r="690">
      <c r="B690" s="116"/>
      <c r="G690" s="117"/>
      <c r="H690" s="118"/>
      <c r="J690" s="119"/>
      <c r="K690" s="35"/>
    </row>
    <row r="691">
      <c r="B691" s="116"/>
      <c r="G691" s="117"/>
      <c r="H691" s="118"/>
      <c r="J691" s="119"/>
      <c r="K691" s="35"/>
    </row>
    <row r="692">
      <c r="B692" s="116"/>
      <c r="G692" s="117"/>
      <c r="H692" s="118"/>
      <c r="J692" s="119"/>
      <c r="K692" s="35"/>
    </row>
    <row r="693">
      <c r="B693" s="116"/>
      <c r="G693" s="117"/>
      <c r="H693" s="118"/>
      <c r="J693" s="119"/>
      <c r="K693" s="35"/>
    </row>
    <row r="694">
      <c r="B694" s="116"/>
      <c r="G694" s="117"/>
      <c r="H694" s="118"/>
      <c r="J694" s="119"/>
      <c r="K694" s="35"/>
    </row>
    <row r="695">
      <c r="B695" s="116"/>
      <c r="G695" s="117"/>
      <c r="H695" s="118"/>
      <c r="J695" s="119"/>
      <c r="K695" s="35"/>
    </row>
    <row r="696">
      <c r="B696" s="116"/>
      <c r="G696" s="117"/>
      <c r="H696" s="118"/>
      <c r="J696" s="119"/>
      <c r="K696" s="35"/>
    </row>
    <row r="697">
      <c r="B697" s="116"/>
      <c r="G697" s="117"/>
      <c r="H697" s="118"/>
      <c r="J697" s="119"/>
      <c r="K697" s="35"/>
    </row>
    <row r="698">
      <c r="B698" s="116"/>
      <c r="G698" s="117"/>
      <c r="H698" s="118"/>
      <c r="J698" s="119"/>
      <c r="K698" s="35"/>
    </row>
    <row r="699">
      <c r="B699" s="116"/>
      <c r="G699" s="117"/>
      <c r="H699" s="118"/>
      <c r="J699" s="119"/>
      <c r="K699" s="35"/>
    </row>
    <row r="700">
      <c r="B700" s="116"/>
      <c r="G700" s="117"/>
      <c r="H700" s="118"/>
      <c r="J700" s="119"/>
      <c r="K700" s="35"/>
    </row>
    <row r="701">
      <c r="B701" s="116"/>
      <c r="G701" s="117"/>
      <c r="H701" s="118"/>
      <c r="J701" s="119"/>
      <c r="K701" s="35"/>
    </row>
    <row r="702">
      <c r="B702" s="116"/>
      <c r="G702" s="117"/>
      <c r="H702" s="118"/>
      <c r="J702" s="119"/>
      <c r="K702" s="35"/>
    </row>
    <row r="703">
      <c r="B703" s="116"/>
      <c r="G703" s="117"/>
      <c r="H703" s="118"/>
      <c r="J703" s="119"/>
      <c r="K703" s="35"/>
    </row>
    <row r="704">
      <c r="B704" s="116"/>
      <c r="G704" s="117"/>
      <c r="H704" s="118"/>
      <c r="J704" s="119"/>
      <c r="K704" s="35"/>
    </row>
    <row r="705">
      <c r="B705" s="116"/>
      <c r="G705" s="117"/>
      <c r="H705" s="118"/>
      <c r="J705" s="119"/>
      <c r="K705" s="35"/>
    </row>
    <row r="706">
      <c r="B706" s="116"/>
      <c r="G706" s="117"/>
      <c r="H706" s="118"/>
      <c r="J706" s="119"/>
      <c r="K706" s="35"/>
    </row>
    <row r="707">
      <c r="B707" s="116"/>
      <c r="G707" s="117"/>
      <c r="H707" s="118"/>
      <c r="J707" s="119"/>
      <c r="K707" s="35"/>
    </row>
    <row r="708">
      <c r="B708" s="116"/>
      <c r="G708" s="117"/>
      <c r="H708" s="118"/>
      <c r="J708" s="119"/>
      <c r="K708" s="35"/>
    </row>
    <row r="709">
      <c r="B709" s="116"/>
      <c r="G709" s="117"/>
      <c r="H709" s="118"/>
      <c r="J709" s="119"/>
      <c r="K709" s="35"/>
    </row>
    <row r="710">
      <c r="B710" s="116"/>
      <c r="G710" s="117"/>
      <c r="H710" s="118"/>
      <c r="J710" s="119"/>
      <c r="K710" s="35"/>
    </row>
    <row r="711">
      <c r="B711" s="116"/>
      <c r="G711" s="117"/>
      <c r="H711" s="118"/>
      <c r="J711" s="119"/>
      <c r="K711" s="35"/>
    </row>
    <row r="712">
      <c r="B712" s="116"/>
      <c r="G712" s="117"/>
      <c r="H712" s="118"/>
      <c r="J712" s="119"/>
      <c r="K712" s="35"/>
    </row>
    <row r="713">
      <c r="B713" s="116"/>
      <c r="G713" s="117"/>
      <c r="H713" s="118"/>
      <c r="J713" s="119"/>
      <c r="K713" s="35"/>
    </row>
    <row r="714">
      <c r="B714" s="116"/>
      <c r="G714" s="117"/>
      <c r="H714" s="118"/>
      <c r="J714" s="119"/>
      <c r="K714" s="35"/>
    </row>
    <row r="715">
      <c r="B715" s="116"/>
      <c r="G715" s="117"/>
      <c r="H715" s="118"/>
      <c r="J715" s="119"/>
      <c r="K715" s="35"/>
    </row>
    <row r="716">
      <c r="B716" s="116"/>
      <c r="G716" s="117"/>
      <c r="H716" s="118"/>
      <c r="J716" s="119"/>
      <c r="K716" s="35"/>
    </row>
    <row r="717">
      <c r="B717" s="116"/>
      <c r="G717" s="117"/>
      <c r="H717" s="118"/>
      <c r="J717" s="119"/>
      <c r="K717" s="35"/>
    </row>
    <row r="718">
      <c r="B718" s="116"/>
      <c r="G718" s="117"/>
      <c r="H718" s="118"/>
      <c r="J718" s="119"/>
      <c r="K718" s="35"/>
    </row>
    <row r="719">
      <c r="B719" s="116"/>
      <c r="G719" s="117"/>
      <c r="H719" s="118"/>
      <c r="J719" s="119"/>
      <c r="K719" s="35"/>
    </row>
    <row r="720">
      <c r="B720" s="116"/>
      <c r="G720" s="117"/>
      <c r="H720" s="118"/>
      <c r="J720" s="119"/>
      <c r="K720" s="35"/>
    </row>
    <row r="721">
      <c r="B721" s="116"/>
      <c r="G721" s="117"/>
      <c r="H721" s="118"/>
      <c r="J721" s="119"/>
      <c r="K721" s="35"/>
    </row>
    <row r="722">
      <c r="B722" s="116"/>
      <c r="G722" s="117"/>
      <c r="H722" s="118"/>
      <c r="J722" s="119"/>
      <c r="K722" s="35"/>
    </row>
    <row r="723">
      <c r="B723" s="116"/>
      <c r="G723" s="117"/>
      <c r="H723" s="118"/>
      <c r="J723" s="119"/>
      <c r="K723" s="35"/>
    </row>
    <row r="724">
      <c r="B724" s="116"/>
      <c r="G724" s="117"/>
      <c r="H724" s="118"/>
      <c r="J724" s="119"/>
      <c r="K724" s="35"/>
    </row>
    <row r="725">
      <c r="B725" s="116"/>
      <c r="G725" s="117"/>
      <c r="H725" s="118"/>
      <c r="J725" s="119"/>
      <c r="K725" s="35"/>
    </row>
    <row r="726">
      <c r="B726" s="116"/>
      <c r="G726" s="117"/>
      <c r="H726" s="118"/>
      <c r="J726" s="119"/>
      <c r="K726" s="35"/>
    </row>
    <row r="727">
      <c r="B727" s="116"/>
      <c r="G727" s="117"/>
      <c r="H727" s="118"/>
      <c r="J727" s="119"/>
      <c r="K727" s="35"/>
    </row>
    <row r="728">
      <c r="B728" s="116"/>
      <c r="G728" s="117"/>
      <c r="H728" s="118"/>
      <c r="J728" s="119"/>
      <c r="K728" s="35"/>
    </row>
    <row r="729">
      <c r="B729" s="116"/>
      <c r="G729" s="117"/>
      <c r="H729" s="118"/>
      <c r="J729" s="119"/>
      <c r="K729" s="35"/>
    </row>
    <row r="730">
      <c r="B730" s="116"/>
      <c r="G730" s="117"/>
      <c r="H730" s="118"/>
      <c r="J730" s="119"/>
      <c r="K730" s="35"/>
    </row>
    <row r="731">
      <c r="B731" s="116"/>
      <c r="G731" s="117"/>
      <c r="H731" s="118"/>
      <c r="J731" s="119"/>
      <c r="K731" s="35"/>
    </row>
    <row r="732">
      <c r="B732" s="116"/>
      <c r="G732" s="117"/>
      <c r="H732" s="118"/>
      <c r="J732" s="119"/>
      <c r="K732" s="35"/>
    </row>
    <row r="733">
      <c r="B733" s="116"/>
      <c r="G733" s="117"/>
      <c r="H733" s="118"/>
      <c r="J733" s="119"/>
      <c r="K733" s="35"/>
    </row>
    <row r="734">
      <c r="B734" s="116"/>
      <c r="G734" s="117"/>
      <c r="H734" s="118"/>
      <c r="J734" s="119"/>
      <c r="K734" s="35"/>
    </row>
    <row r="735">
      <c r="B735" s="116"/>
      <c r="G735" s="117"/>
      <c r="H735" s="118"/>
      <c r="J735" s="119"/>
      <c r="K735" s="35"/>
    </row>
    <row r="736">
      <c r="B736" s="116"/>
      <c r="G736" s="117"/>
      <c r="H736" s="118"/>
      <c r="J736" s="119"/>
      <c r="K736" s="35"/>
    </row>
    <row r="737">
      <c r="B737" s="116"/>
      <c r="G737" s="117"/>
      <c r="H737" s="118"/>
      <c r="J737" s="119"/>
      <c r="K737" s="35"/>
    </row>
    <row r="738">
      <c r="B738" s="116"/>
      <c r="G738" s="117"/>
      <c r="H738" s="118"/>
      <c r="J738" s="119"/>
      <c r="K738" s="35"/>
    </row>
    <row r="739">
      <c r="B739" s="116"/>
      <c r="G739" s="117"/>
      <c r="H739" s="118"/>
      <c r="J739" s="119"/>
      <c r="K739" s="35"/>
    </row>
    <row r="740">
      <c r="B740" s="116"/>
      <c r="G740" s="117"/>
      <c r="H740" s="118"/>
      <c r="J740" s="119"/>
      <c r="K740" s="35"/>
    </row>
    <row r="741">
      <c r="B741" s="116"/>
      <c r="G741" s="117"/>
      <c r="H741" s="118"/>
      <c r="J741" s="119"/>
      <c r="K741" s="35"/>
    </row>
    <row r="742">
      <c r="B742" s="116"/>
      <c r="G742" s="117"/>
      <c r="H742" s="118"/>
      <c r="J742" s="119"/>
      <c r="K742" s="35"/>
    </row>
    <row r="743">
      <c r="B743" s="116"/>
      <c r="G743" s="117"/>
      <c r="H743" s="118"/>
      <c r="J743" s="119"/>
      <c r="K743" s="35"/>
    </row>
    <row r="744">
      <c r="B744" s="116"/>
      <c r="G744" s="117"/>
      <c r="H744" s="118"/>
      <c r="J744" s="119"/>
      <c r="K744" s="35"/>
    </row>
    <row r="745">
      <c r="B745" s="116"/>
      <c r="G745" s="117"/>
      <c r="H745" s="118"/>
      <c r="J745" s="119"/>
      <c r="K745" s="35"/>
    </row>
    <row r="746">
      <c r="B746" s="116"/>
      <c r="G746" s="117"/>
      <c r="H746" s="118"/>
      <c r="J746" s="119"/>
      <c r="K746" s="35"/>
    </row>
    <row r="747">
      <c r="B747" s="116"/>
      <c r="G747" s="117"/>
      <c r="H747" s="118"/>
      <c r="J747" s="119"/>
      <c r="K747" s="35"/>
    </row>
    <row r="748">
      <c r="B748" s="116"/>
      <c r="G748" s="117"/>
      <c r="H748" s="118"/>
      <c r="J748" s="119"/>
      <c r="K748" s="35"/>
    </row>
    <row r="749">
      <c r="B749" s="116"/>
      <c r="G749" s="117"/>
      <c r="H749" s="118"/>
      <c r="J749" s="119"/>
      <c r="K749" s="35"/>
    </row>
    <row r="750">
      <c r="B750" s="116"/>
      <c r="G750" s="117"/>
      <c r="H750" s="118"/>
      <c r="J750" s="119"/>
      <c r="K750" s="35"/>
    </row>
    <row r="751">
      <c r="B751" s="116"/>
      <c r="G751" s="117"/>
      <c r="H751" s="118"/>
      <c r="J751" s="119"/>
      <c r="K751" s="35"/>
    </row>
    <row r="752">
      <c r="B752" s="116"/>
      <c r="G752" s="117"/>
      <c r="H752" s="118"/>
      <c r="J752" s="119"/>
      <c r="K752" s="35"/>
    </row>
    <row r="753">
      <c r="B753" s="116"/>
      <c r="G753" s="117"/>
      <c r="H753" s="118"/>
      <c r="J753" s="119"/>
      <c r="K753" s="35"/>
    </row>
    <row r="754">
      <c r="B754" s="116"/>
      <c r="G754" s="117"/>
      <c r="H754" s="118"/>
      <c r="J754" s="119"/>
      <c r="K754" s="35"/>
    </row>
    <row r="755">
      <c r="B755" s="116"/>
      <c r="G755" s="117"/>
      <c r="H755" s="118"/>
      <c r="J755" s="119"/>
      <c r="K755" s="35"/>
    </row>
    <row r="756">
      <c r="B756" s="116"/>
      <c r="G756" s="117"/>
      <c r="H756" s="118"/>
      <c r="J756" s="119"/>
      <c r="K756" s="35"/>
    </row>
    <row r="757">
      <c r="B757" s="116"/>
      <c r="G757" s="117"/>
      <c r="H757" s="118"/>
      <c r="J757" s="119"/>
      <c r="K757" s="35"/>
    </row>
    <row r="758">
      <c r="B758" s="116"/>
      <c r="G758" s="117"/>
      <c r="H758" s="118"/>
      <c r="J758" s="119"/>
      <c r="K758" s="35"/>
    </row>
    <row r="759">
      <c r="B759" s="116"/>
      <c r="G759" s="117"/>
      <c r="H759" s="118"/>
      <c r="J759" s="119"/>
      <c r="K759" s="35"/>
    </row>
    <row r="760">
      <c r="B760" s="116"/>
      <c r="G760" s="117"/>
      <c r="H760" s="118"/>
      <c r="J760" s="119"/>
      <c r="K760" s="35"/>
    </row>
    <row r="761">
      <c r="B761" s="116"/>
      <c r="G761" s="117"/>
      <c r="H761" s="118"/>
      <c r="J761" s="119"/>
      <c r="K761" s="35"/>
    </row>
    <row r="762">
      <c r="B762" s="116"/>
      <c r="G762" s="117"/>
      <c r="H762" s="118"/>
      <c r="J762" s="119"/>
      <c r="K762" s="35"/>
    </row>
    <row r="763">
      <c r="B763" s="116"/>
      <c r="G763" s="117"/>
      <c r="H763" s="118"/>
      <c r="J763" s="119"/>
      <c r="K763" s="35"/>
    </row>
    <row r="764">
      <c r="B764" s="116"/>
      <c r="G764" s="117"/>
      <c r="H764" s="118"/>
      <c r="J764" s="119"/>
      <c r="K764" s="35"/>
    </row>
    <row r="765">
      <c r="B765" s="116"/>
      <c r="G765" s="117"/>
      <c r="H765" s="118"/>
      <c r="J765" s="119"/>
      <c r="K765" s="35"/>
    </row>
    <row r="766">
      <c r="B766" s="116"/>
      <c r="G766" s="117"/>
      <c r="H766" s="118"/>
      <c r="J766" s="119"/>
      <c r="K766" s="35"/>
    </row>
    <row r="767">
      <c r="B767" s="116"/>
      <c r="G767" s="117"/>
      <c r="H767" s="118"/>
      <c r="J767" s="119"/>
      <c r="K767" s="35"/>
    </row>
    <row r="768">
      <c r="B768" s="116"/>
      <c r="G768" s="117"/>
      <c r="H768" s="118"/>
      <c r="J768" s="119"/>
      <c r="K768" s="35"/>
    </row>
    <row r="769">
      <c r="B769" s="116"/>
      <c r="G769" s="117"/>
      <c r="H769" s="118"/>
      <c r="J769" s="119"/>
      <c r="K769" s="35"/>
    </row>
    <row r="770">
      <c r="B770" s="116"/>
      <c r="G770" s="117"/>
      <c r="H770" s="118"/>
      <c r="J770" s="119"/>
      <c r="K770" s="35"/>
    </row>
    <row r="771">
      <c r="B771" s="116"/>
      <c r="G771" s="117"/>
      <c r="H771" s="118"/>
      <c r="J771" s="119"/>
      <c r="K771" s="35"/>
    </row>
    <row r="772">
      <c r="B772" s="116"/>
      <c r="G772" s="117"/>
      <c r="H772" s="118"/>
      <c r="J772" s="119"/>
      <c r="K772" s="35"/>
    </row>
    <row r="773">
      <c r="B773" s="116"/>
      <c r="G773" s="117"/>
      <c r="H773" s="118"/>
      <c r="J773" s="119"/>
      <c r="K773" s="35"/>
    </row>
    <row r="774">
      <c r="B774" s="116"/>
      <c r="G774" s="117"/>
      <c r="H774" s="118"/>
      <c r="J774" s="119"/>
      <c r="K774" s="35"/>
    </row>
    <row r="775">
      <c r="B775" s="116"/>
      <c r="G775" s="117"/>
      <c r="H775" s="118"/>
      <c r="J775" s="119"/>
      <c r="K775" s="35"/>
    </row>
    <row r="776">
      <c r="B776" s="116"/>
      <c r="G776" s="117"/>
      <c r="H776" s="118"/>
      <c r="J776" s="119"/>
      <c r="K776" s="35"/>
    </row>
    <row r="777">
      <c r="B777" s="116"/>
      <c r="G777" s="117"/>
      <c r="H777" s="118"/>
      <c r="J777" s="119"/>
      <c r="K777" s="35"/>
    </row>
    <row r="778">
      <c r="B778" s="116"/>
      <c r="G778" s="117"/>
      <c r="H778" s="118"/>
      <c r="J778" s="119"/>
      <c r="K778" s="35"/>
    </row>
    <row r="779">
      <c r="B779" s="116"/>
      <c r="G779" s="117"/>
      <c r="H779" s="118"/>
      <c r="J779" s="119"/>
      <c r="K779" s="35"/>
    </row>
    <row r="780">
      <c r="B780" s="116"/>
      <c r="G780" s="117"/>
      <c r="H780" s="118"/>
      <c r="J780" s="119"/>
      <c r="K780" s="35"/>
    </row>
    <row r="781">
      <c r="B781" s="116"/>
      <c r="G781" s="117"/>
      <c r="H781" s="118"/>
      <c r="J781" s="119"/>
      <c r="K781" s="35"/>
    </row>
    <row r="782">
      <c r="B782" s="116"/>
      <c r="G782" s="117"/>
      <c r="H782" s="118"/>
      <c r="J782" s="119"/>
      <c r="K782" s="35"/>
    </row>
    <row r="783">
      <c r="B783" s="116"/>
      <c r="G783" s="117"/>
      <c r="H783" s="118"/>
      <c r="J783" s="119"/>
      <c r="K783" s="35"/>
    </row>
    <row r="784">
      <c r="B784" s="116"/>
      <c r="G784" s="117"/>
      <c r="H784" s="118"/>
      <c r="J784" s="119"/>
      <c r="K784" s="35"/>
    </row>
    <row r="785">
      <c r="B785" s="116"/>
      <c r="G785" s="117"/>
      <c r="H785" s="118"/>
      <c r="J785" s="119"/>
      <c r="K785" s="35"/>
    </row>
    <row r="786">
      <c r="B786" s="116"/>
      <c r="G786" s="117"/>
      <c r="H786" s="118"/>
      <c r="J786" s="119"/>
      <c r="K786" s="35"/>
    </row>
    <row r="787">
      <c r="B787" s="116"/>
      <c r="G787" s="117"/>
      <c r="H787" s="118"/>
      <c r="J787" s="119"/>
      <c r="K787" s="35"/>
    </row>
    <row r="788">
      <c r="B788" s="116"/>
      <c r="G788" s="117"/>
      <c r="H788" s="118"/>
      <c r="J788" s="119"/>
      <c r="K788" s="35"/>
    </row>
    <row r="789">
      <c r="B789" s="116"/>
      <c r="G789" s="117"/>
      <c r="H789" s="118"/>
      <c r="J789" s="119"/>
      <c r="K789" s="35"/>
    </row>
    <row r="790">
      <c r="B790" s="116"/>
      <c r="G790" s="117"/>
      <c r="H790" s="118"/>
      <c r="J790" s="119"/>
      <c r="K790" s="35"/>
    </row>
    <row r="791">
      <c r="B791" s="116"/>
      <c r="G791" s="117"/>
      <c r="H791" s="118"/>
      <c r="J791" s="119"/>
      <c r="K791" s="35"/>
    </row>
    <row r="792">
      <c r="B792" s="116"/>
      <c r="G792" s="117"/>
      <c r="H792" s="118"/>
      <c r="J792" s="119"/>
      <c r="K792" s="35"/>
    </row>
    <row r="793">
      <c r="B793" s="116"/>
      <c r="G793" s="117"/>
      <c r="H793" s="118"/>
      <c r="J793" s="119"/>
      <c r="K793" s="35"/>
    </row>
    <row r="794">
      <c r="B794" s="116"/>
      <c r="G794" s="117"/>
      <c r="H794" s="118"/>
      <c r="J794" s="119"/>
      <c r="K794" s="35"/>
    </row>
    <row r="795">
      <c r="B795" s="116"/>
      <c r="G795" s="117"/>
      <c r="H795" s="118"/>
      <c r="J795" s="119"/>
      <c r="K795" s="35"/>
    </row>
    <row r="796">
      <c r="B796" s="116"/>
      <c r="G796" s="117"/>
      <c r="H796" s="118"/>
      <c r="J796" s="119"/>
      <c r="K796" s="35"/>
    </row>
    <row r="797">
      <c r="B797" s="116"/>
      <c r="G797" s="117"/>
      <c r="H797" s="118"/>
      <c r="J797" s="119"/>
      <c r="K797" s="35"/>
    </row>
    <row r="798">
      <c r="B798" s="116"/>
      <c r="G798" s="117"/>
      <c r="H798" s="118"/>
      <c r="J798" s="119"/>
      <c r="K798" s="35"/>
    </row>
    <row r="799">
      <c r="B799" s="116"/>
      <c r="G799" s="117"/>
      <c r="H799" s="118"/>
      <c r="J799" s="119"/>
      <c r="K799" s="35"/>
    </row>
    <row r="800">
      <c r="B800" s="116"/>
      <c r="G800" s="117"/>
      <c r="H800" s="118"/>
      <c r="J800" s="119"/>
      <c r="K800" s="35"/>
    </row>
    <row r="801">
      <c r="B801" s="116"/>
      <c r="G801" s="117"/>
      <c r="H801" s="118"/>
      <c r="J801" s="119"/>
      <c r="K801" s="35"/>
    </row>
    <row r="802">
      <c r="B802" s="116"/>
      <c r="G802" s="117"/>
      <c r="H802" s="118"/>
      <c r="J802" s="119"/>
      <c r="K802" s="35"/>
    </row>
    <row r="803">
      <c r="B803" s="116"/>
      <c r="G803" s="117"/>
      <c r="H803" s="118"/>
      <c r="J803" s="119"/>
      <c r="K803" s="35"/>
    </row>
    <row r="804">
      <c r="B804" s="116"/>
      <c r="G804" s="117"/>
      <c r="H804" s="118"/>
      <c r="J804" s="119"/>
      <c r="K804" s="35"/>
    </row>
    <row r="805">
      <c r="B805" s="116"/>
      <c r="G805" s="117"/>
      <c r="H805" s="118"/>
      <c r="J805" s="119"/>
      <c r="K805" s="35"/>
    </row>
    <row r="806">
      <c r="B806" s="116"/>
      <c r="G806" s="117"/>
      <c r="H806" s="118"/>
      <c r="J806" s="119"/>
      <c r="K806" s="35"/>
    </row>
    <row r="807">
      <c r="B807" s="116"/>
      <c r="G807" s="117"/>
      <c r="H807" s="118"/>
      <c r="J807" s="119"/>
      <c r="K807" s="35"/>
    </row>
    <row r="808">
      <c r="B808" s="116"/>
      <c r="G808" s="117"/>
      <c r="H808" s="118"/>
      <c r="J808" s="119"/>
      <c r="K808" s="35"/>
    </row>
    <row r="809">
      <c r="B809" s="116"/>
      <c r="G809" s="117"/>
      <c r="H809" s="118"/>
      <c r="J809" s="119"/>
      <c r="K809" s="35"/>
    </row>
    <row r="810">
      <c r="B810" s="116"/>
      <c r="G810" s="117"/>
      <c r="H810" s="118"/>
      <c r="J810" s="119"/>
      <c r="K810" s="35"/>
    </row>
    <row r="811">
      <c r="B811" s="116"/>
      <c r="G811" s="117"/>
      <c r="H811" s="118"/>
      <c r="J811" s="119"/>
      <c r="K811" s="35"/>
    </row>
    <row r="812">
      <c r="B812" s="116"/>
      <c r="G812" s="117"/>
      <c r="H812" s="118"/>
      <c r="J812" s="119"/>
      <c r="K812" s="35"/>
    </row>
    <row r="813">
      <c r="B813" s="116"/>
      <c r="G813" s="117"/>
      <c r="H813" s="118"/>
      <c r="J813" s="119"/>
      <c r="K813" s="35"/>
    </row>
    <row r="814">
      <c r="B814" s="116"/>
      <c r="G814" s="117"/>
      <c r="H814" s="118"/>
      <c r="J814" s="119"/>
      <c r="K814" s="35"/>
    </row>
    <row r="815">
      <c r="B815" s="116"/>
      <c r="G815" s="117"/>
      <c r="H815" s="118"/>
      <c r="J815" s="119"/>
      <c r="K815" s="35"/>
    </row>
    <row r="816">
      <c r="B816" s="116"/>
      <c r="G816" s="117"/>
      <c r="H816" s="118"/>
      <c r="J816" s="119"/>
      <c r="K816" s="35"/>
    </row>
    <row r="817">
      <c r="B817" s="116"/>
      <c r="G817" s="117"/>
      <c r="H817" s="118"/>
      <c r="J817" s="119"/>
      <c r="K817" s="35"/>
    </row>
    <row r="818">
      <c r="B818" s="116"/>
      <c r="G818" s="117"/>
      <c r="H818" s="118"/>
      <c r="J818" s="119"/>
      <c r="K818" s="35"/>
    </row>
    <row r="819">
      <c r="B819" s="116"/>
      <c r="G819" s="117"/>
      <c r="H819" s="118"/>
      <c r="J819" s="119"/>
      <c r="K819" s="35"/>
    </row>
    <row r="820">
      <c r="B820" s="116"/>
      <c r="G820" s="117"/>
      <c r="H820" s="118"/>
      <c r="J820" s="119"/>
      <c r="K820" s="35"/>
    </row>
    <row r="821">
      <c r="B821" s="116"/>
      <c r="G821" s="117"/>
      <c r="H821" s="118"/>
      <c r="J821" s="119"/>
      <c r="K821" s="35"/>
    </row>
    <row r="822">
      <c r="B822" s="116"/>
      <c r="G822" s="117"/>
      <c r="H822" s="118"/>
      <c r="J822" s="119"/>
      <c r="K822" s="35"/>
    </row>
    <row r="823">
      <c r="B823" s="116"/>
      <c r="G823" s="117"/>
      <c r="H823" s="118"/>
      <c r="J823" s="119"/>
      <c r="K823" s="35"/>
    </row>
    <row r="824">
      <c r="B824" s="116"/>
      <c r="G824" s="117"/>
      <c r="H824" s="118"/>
      <c r="J824" s="119"/>
      <c r="K824" s="35"/>
    </row>
    <row r="825">
      <c r="B825" s="116"/>
      <c r="G825" s="117"/>
      <c r="H825" s="118"/>
      <c r="J825" s="119"/>
      <c r="K825" s="35"/>
    </row>
    <row r="826">
      <c r="B826" s="116"/>
      <c r="G826" s="117"/>
      <c r="H826" s="118"/>
      <c r="J826" s="119"/>
      <c r="K826" s="35"/>
    </row>
    <row r="827">
      <c r="B827" s="116"/>
      <c r="G827" s="117"/>
      <c r="H827" s="118"/>
      <c r="J827" s="119"/>
      <c r="K827" s="35"/>
    </row>
    <row r="828">
      <c r="B828" s="116"/>
      <c r="G828" s="117"/>
      <c r="H828" s="118"/>
      <c r="J828" s="119"/>
      <c r="K828" s="35"/>
    </row>
    <row r="829">
      <c r="B829" s="116"/>
      <c r="G829" s="117"/>
      <c r="H829" s="118"/>
      <c r="J829" s="119"/>
      <c r="K829" s="35"/>
    </row>
    <row r="830">
      <c r="B830" s="116"/>
      <c r="G830" s="117"/>
      <c r="H830" s="118"/>
      <c r="J830" s="119"/>
      <c r="K830" s="35"/>
    </row>
    <row r="831">
      <c r="B831" s="116"/>
      <c r="G831" s="117"/>
      <c r="H831" s="118"/>
      <c r="J831" s="119"/>
      <c r="K831" s="35"/>
    </row>
    <row r="832">
      <c r="B832" s="116"/>
      <c r="G832" s="117"/>
      <c r="H832" s="118"/>
      <c r="J832" s="119"/>
      <c r="K832" s="35"/>
    </row>
    <row r="833">
      <c r="B833" s="116"/>
      <c r="G833" s="117"/>
      <c r="H833" s="118"/>
      <c r="J833" s="119"/>
      <c r="K833" s="35"/>
    </row>
    <row r="834">
      <c r="B834" s="116"/>
      <c r="G834" s="117"/>
      <c r="H834" s="118"/>
      <c r="J834" s="119"/>
      <c r="K834" s="35"/>
    </row>
    <row r="835">
      <c r="B835" s="116"/>
      <c r="G835" s="117"/>
      <c r="H835" s="118"/>
      <c r="J835" s="119"/>
      <c r="K835" s="35"/>
    </row>
    <row r="836">
      <c r="B836" s="116"/>
      <c r="G836" s="117"/>
      <c r="H836" s="118"/>
      <c r="J836" s="119"/>
      <c r="K836" s="35"/>
    </row>
    <row r="837">
      <c r="B837" s="116"/>
      <c r="G837" s="117"/>
      <c r="H837" s="118"/>
      <c r="J837" s="119"/>
      <c r="K837" s="35"/>
    </row>
    <row r="838">
      <c r="B838" s="116"/>
      <c r="G838" s="117"/>
      <c r="H838" s="118"/>
      <c r="J838" s="119"/>
      <c r="K838" s="35"/>
    </row>
    <row r="839">
      <c r="B839" s="116"/>
      <c r="G839" s="117"/>
      <c r="H839" s="118"/>
      <c r="J839" s="119"/>
      <c r="K839" s="35"/>
    </row>
    <row r="840">
      <c r="B840" s="116"/>
      <c r="G840" s="117"/>
      <c r="H840" s="118"/>
      <c r="J840" s="119"/>
      <c r="K840" s="35"/>
    </row>
    <row r="841">
      <c r="B841" s="116"/>
      <c r="G841" s="117"/>
      <c r="H841" s="118"/>
      <c r="J841" s="119"/>
      <c r="K841" s="35"/>
    </row>
    <row r="842">
      <c r="B842" s="116"/>
      <c r="G842" s="117"/>
      <c r="H842" s="118"/>
      <c r="J842" s="119"/>
      <c r="K842" s="35"/>
    </row>
    <row r="843">
      <c r="B843" s="116"/>
      <c r="G843" s="117"/>
      <c r="H843" s="118"/>
      <c r="J843" s="119"/>
      <c r="K843" s="35"/>
    </row>
    <row r="844">
      <c r="B844" s="116"/>
      <c r="G844" s="117"/>
      <c r="H844" s="118"/>
      <c r="J844" s="119"/>
      <c r="K844" s="35"/>
    </row>
    <row r="845">
      <c r="B845" s="116"/>
      <c r="G845" s="117"/>
      <c r="H845" s="118"/>
      <c r="J845" s="119"/>
      <c r="K845" s="35"/>
    </row>
    <row r="846">
      <c r="B846" s="116"/>
      <c r="G846" s="117"/>
      <c r="H846" s="118"/>
      <c r="J846" s="119"/>
      <c r="K846" s="35"/>
    </row>
    <row r="847">
      <c r="B847" s="116"/>
      <c r="G847" s="117"/>
      <c r="H847" s="118"/>
      <c r="J847" s="119"/>
      <c r="K847" s="35"/>
    </row>
    <row r="848">
      <c r="B848" s="116"/>
      <c r="G848" s="117"/>
      <c r="H848" s="118"/>
      <c r="J848" s="119"/>
      <c r="K848" s="35"/>
    </row>
    <row r="849">
      <c r="B849" s="116"/>
      <c r="G849" s="117"/>
      <c r="H849" s="118"/>
      <c r="J849" s="119"/>
      <c r="K849" s="35"/>
    </row>
    <row r="850">
      <c r="B850" s="116"/>
      <c r="G850" s="117"/>
      <c r="H850" s="118"/>
      <c r="J850" s="119"/>
      <c r="K850" s="35"/>
    </row>
    <row r="851">
      <c r="B851" s="116"/>
      <c r="G851" s="117"/>
      <c r="H851" s="118"/>
      <c r="J851" s="119"/>
      <c r="K851" s="35"/>
    </row>
    <row r="852">
      <c r="B852" s="116"/>
      <c r="G852" s="117"/>
      <c r="H852" s="118"/>
      <c r="J852" s="119"/>
      <c r="K852" s="35"/>
    </row>
    <row r="853">
      <c r="B853" s="116"/>
      <c r="G853" s="117"/>
      <c r="H853" s="118"/>
      <c r="J853" s="119"/>
      <c r="K853" s="35"/>
    </row>
    <row r="854">
      <c r="B854" s="116"/>
      <c r="G854" s="117"/>
      <c r="H854" s="118"/>
      <c r="J854" s="119"/>
      <c r="K854" s="35"/>
    </row>
    <row r="855">
      <c r="B855" s="116"/>
      <c r="G855" s="117"/>
      <c r="H855" s="118"/>
      <c r="J855" s="119"/>
      <c r="K855" s="35"/>
    </row>
    <row r="856">
      <c r="B856" s="116"/>
      <c r="G856" s="117"/>
      <c r="H856" s="118"/>
      <c r="J856" s="119"/>
      <c r="K856" s="35"/>
    </row>
    <row r="857">
      <c r="B857" s="116"/>
      <c r="G857" s="117"/>
      <c r="H857" s="118"/>
      <c r="J857" s="119"/>
      <c r="K857" s="35"/>
    </row>
    <row r="858">
      <c r="B858" s="116"/>
      <c r="G858" s="117"/>
      <c r="H858" s="118"/>
      <c r="J858" s="119"/>
      <c r="K858" s="35"/>
    </row>
    <row r="859">
      <c r="B859" s="116"/>
      <c r="G859" s="117"/>
      <c r="H859" s="118"/>
      <c r="J859" s="119"/>
      <c r="K859" s="35"/>
    </row>
    <row r="860">
      <c r="B860" s="116"/>
      <c r="G860" s="117"/>
      <c r="H860" s="118"/>
      <c r="J860" s="119"/>
      <c r="K860" s="35"/>
    </row>
    <row r="861">
      <c r="B861" s="116"/>
      <c r="G861" s="117"/>
      <c r="H861" s="118"/>
      <c r="J861" s="119"/>
      <c r="K861" s="35"/>
    </row>
    <row r="862">
      <c r="B862" s="116"/>
      <c r="G862" s="117"/>
      <c r="H862" s="118"/>
      <c r="J862" s="119"/>
      <c r="K862" s="35"/>
    </row>
    <row r="863">
      <c r="B863" s="116"/>
      <c r="G863" s="117"/>
      <c r="H863" s="118"/>
      <c r="J863" s="119"/>
      <c r="K863" s="35"/>
    </row>
    <row r="864">
      <c r="B864" s="116"/>
      <c r="G864" s="117"/>
      <c r="H864" s="118"/>
      <c r="J864" s="119"/>
      <c r="K864" s="35"/>
    </row>
    <row r="865">
      <c r="B865" s="116"/>
      <c r="G865" s="117"/>
      <c r="H865" s="118"/>
      <c r="J865" s="119"/>
      <c r="K865" s="35"/>
    </row>
    <row r="866">
      <c r="B866" s="116"/>
      <c r="G866" s="117"/>
      <c r="H866" s="118"/>
      <c r="J866" s="119"/>
      <c r="K866" s="35"/>
    </row>
    <row r="867">
      <c r="B867" s="116"/>
      <c r="G867" s="117"/>
      <c r="H867" s="118"/>
      <c r="J867" s="119"/>
      <c r="K867" s="35"/>
    </row>
    <row r="868">
      <c r="B868" s="116"/>
      <c r="G868" s="117"/>
      <c r="H868" s="118"/>
      <c r="J868" s="119"/>
      <c r="K868" s="35"/>
    </row>
    <row r="869">
      <c r="B869" s="116"/>
      <c r="G869" s="117"/>
      <c r="H869" s="118"/>
      <c r="J869" s="119"/>
      <c r="K869" s="35"/>
    </row>
    <row r="870">
      <c r="B870" s="116"/>
      <c r="G870" s="117"/>
      <c r="H870" s="118"/>
      <c r="J870" s="119"/>
      <c r="K870" s="35"/>
    </row>
    <row r="871">
      <c r="B871" s="116"/>
      <c r="G871" s="117"/>
      <c r="H871" s="118"/>
      <c r="J871" s="119"/>
      <c r="K871" s="35"/>
    </row>
    <row r="872">
      <c r="B872" s="116"/>
      <c r="G872" s="117"/>
      <c r="H872" s="118"/>
      <c r="J872" s="119"/>
      <c r="K872" s="35"/>
    </row>
    <row r="873">
      <c r="B873" s="116"/>
      <c r="G873" s="117"/>
      <c r="H873" s="118"/>
      <c r="J873" s="119"/>
      <c r="K873" s="35"/>
    </row>
    <row r="874">
      <c r="B874" s="116"/>
      <c r="G874" s="117"/>
      <c r="H874" s="118"/>
      <c r="J874" s="119"/>
      <c r="K874" s="35"/>
    </row>
    <row r="875">
      <c r="B875" s="116"/>
      <c r="G875" s="117"/>
      <c r="H875" s="118"/>
      <c r="J875" s="119"/>
      <c r="K875" s="35"/>
    </row>
    <row r="876">
      <c r="B876" s="116"/>
      <c r="G876" s="117"/>
      <c r="H876" s="118"/>
      <c r="J876" s="119"/>
      <c r="K876" s="35"/>
    </row>
    <row r="877">
      <c r="B877" s="116"/>
      <c r="G877" s="117"/>
      <c r="H877" s="118"/>
      <c r="J877" s="119"/>
      <c r="K877" s="35"/>
    </row>
    <row r="878">
      <c r="B878" s="116"/>
      <c r="G878" s="117"/>
      <c r="H878" s="118"/>
      <c r="J878" s="119"/>
      <c r="K878" s="35"/>
    </row>
    <row r="879">
      <c r="B879" s="116"/>
      <c r="G879" s="117"/>
      <c r="H879" s="118"/>
      <c r="J879" s="119"/>
      <c r="K879" s="35"/>
    </row>
    <row r="880">
      <c r="B880" s="116"/>
      <c r="G880" s="117"/>
      <c r="H880" s="118"/>
      <c r="J880" s="119"/>
      <c r="K880" s="35"/>
    </row>
    <row r="881">
      <c r="B881" s="116"/>
      <c r="G881" s="117"/>
      <c r="H881" s="118"/>
      <c r="J881" s="119"/>
      <c r="K881" s="35"/>
    </row>
    <row r="882">
      <c r="B882" s="116"/>
      <c r="G882" s="117"/>
      <c r="H882" s="118"/>
      <c r="J882" s="119"/>
      <c r="K882" s="35"/>
    </row>
    <row r="883">
      <c r="B883" s="116"/>
      <c r="G883" s="117"/>
      <c r="H883" s="118"/>
      <c r="J883" s="119"/>
      <c r="K883" s="35"/>
    </row>
    <row r="884">
      <c r="B884" s="116"/>
      <c r="G884" s="117"/>
      <c r="H884" s="118"/>
      <c r="J884" s="119"/>
      <c r="K884" s="35"/>
    </row>
    <row r="885">
      <c r="B885" s="116"/>
      <c r="G885" s="117"/>
      <c r="H885" s="118"/>
      <c r="J885" s="119"/>
      <c r="K885" s="35"/>
    </row>
    <row r="886">
      <c r="B886" s="116"/>
      <c r="G886" s="117"/>
      <c r="H886" s="118"/>
      <c r="J886" s="119"/>
      <c r="K886" s="35"/>
    </row>
    <row r="887">
      <c r="B887" s="116"/>
      <c r="G887" s="117"/>
      <c r="H887" s="118"/>
      <c r="J887" s="119"/>
      <c r="K887" s="35"/>
    </row>
    <row r="888">
      <c r="B888" s="116"/>
      <c r="G888" s="117"/>
      <c r="H888" s="118"/>
      <c r="J888" s="119"/>
      <c r="K888" s="35"/>
    </row>
    <row r="889">
      <c r="B889" s="116"/>
      <c r="G889" s="117"/>
      <c r="H889" s="118"/>
      <c r="J889" s="119"/>
      <c r="K889" s="35"/>
    </row>
    <row r="890">
      <c r="B890" s="116"/>
      <c r="G890" s="117"/>
      <c r="H890" s="118"/>
      <c r="J890" s="119"/>
      <c r="K890" s="35"/>
    </row>
    <row r="891">
      <c r="B891" s="116"/>
      <c r="G891" s="117"/>
      <c r="H891" s="118"/>
      <c r="J891" s="119"/>
      <c r="K891" s="35"/>
    </row>
    <row r="892">
      <c r="B892" s="116"/>
      <c r="G892" s="117"/>
      <c r="H892" s="118"/>
      <c r="J892" s="119"/>
      <c r="K892" s="35"/>
    </row>
    <row r="893">
      <c r="B893" s="116"/>
      <c r="G893" s="117"/>
      <c r="H893" s="118"/>
      <c r="J893" s="119"/>
      <c r="K893" s="35"/>
    </row>
    <row r="894">
      <c r="B894" s="116"/>
      <c r="G894" s="117"/>
      <c r="H894" s="118"/>
      <c r="J894" s="119"/>
      <c r="K894" s="35"/>
    </row>
    <row r="895">
      <c r="B895" s="116"/>
      <c r="G895" s="117"/>
      <c r="H895" s="118"/>
      <c r="J895" s="119"/>
      <c r="K895" s="35"/>
    </row>
    <row r="896">
      <c r="B896" s="116"/>
      <c r="G896" s="117"/>
      <c r="H896" s="118"/>
      <c r="J896" s="119"/>
      <c r="K896" s="35"/>
    </row>
    <row r="897">
      <c r="B897" s="116"/>
      <c r="G897" s="117"/>
      <c r="H897" s="118"/>
      <c r="J897" s="119"/>
      <c r="K897" s="35"/>
    </row>
    <row r="898">
      <c r="B898" s="116"/>
      <c r="G898" s="117"/>
      <c r="H898" s="118"/>
      <c r="J898" s="119"/>
      <c r="K898" s="35"/>
    </row>
    <row r="899">
      <c r="B899" s="116"/>
      <c r="G899" s="117"/>
      <c r="H899" s="118"/>
      <c r="J899" s="119"/>
      <c r="K899" s="35"/>
    </row>
    <row r="900">
      <c r="B900" s="116"/>
      <c r="G900" s="117"/>
      <c r="H900" s="118"/>
      <c r="J900" s="119"/>
      <c r="K900" s="35"/>
    </row>
    <row r="901">
      <c r="B901" s="116"/>
      <c r="G901" s="117"/>
      <c r="H901" s="118"/>
      <c r="J901" s="119"/>
      <c r="K901" s="35"/>
    </row>
    <row r="902">
      <c r="B902" s="116"/>
      <c r="G902" s="117"/>
      <c r="H902" s="118"/>
      <c r="J902" s="119"/>
      <c r="K902" s="35"/>
    </row>
    <row r="903">
      <c r="B903" s="116"/>
      <c r="G903" s="117"/>
      <c r="H903" s="118"/>
      <c r="J903" s="119"/>
      <c r="K903" s="35"/>
    </row>
    <row r="904">
      <c r="B904" s="116"/>
      <c r="G904" s="117"/>
      <c r="H904" s="118"/>
      <c r="J904" s="119"/>
      <c r="K904" s="35"/>
    </row>
    <row r="905">
      <c r="B905" s="116"/>
      <c r="G905" s="117"/>
      <c r="H905" s="118"/>
      <c r="J905" s="119"/>
      <c r="K905" s="35"/>
    </row>
    <row r="906">
      <c r="B906" s="116"/>
      <c r="G906" s="117"/>
      <c r="H906" s="118"/>
      <c r="J906" s="119"/>
      <c r="K906" s="35"/>
    </row>
    <row r="907">
      <c r="B907" s="116"/>
      <c r="G907" s="117"/>
      <c r="H907" s="118"/>
      <c r="J907" s="119"/>
      <c r="K907" s="35"/>
    </row>
    <row r="908">
      <c r="B908" s="116"/>
      <c r="G908" s="117"/>
      <c r="H908" s="118"/>
      <c r="J908" s="119"/>
      <c r="K908" s="35"/>
    </row>
    <row r="909">
      <c r="B909" s="116"/>
      <c r="G909" s="117"/>
      <c r="H909" s="118"/>
      <c r="J909" s="119"/>
      <c r="K909" s="35"/>
    </row>
    <row r="910">
      <c r="B910" s="116"/>
      <c r="G910" s="117"/>
      <c r="H910" s="118"/>
      <c r="J910" s="119"/>
      <c r="K910" s="35"/>
    </row>
    <row r="911">
      <c r="B911" s="116"/>
      <c r="G911" s="117"/>
      <c r="H911" s="118"/>
      <c r="J911" s="119"/>
      <c r="K911" s="35"/>
    </row>
    <row r="912">
      <c r="B912" s="116"/>
      <c r="G912" s="117"/>
      <c r="H912" s="118"/>
      <c r="J912" s="119"/>
      <c r="K912" s="35"/>
    </row>
    <row r="913">
      <c r="B913" s="116"/>
      <c r="G913" s="117"/>
      <c r="H913" s="118"/>
      <c r="J913" s="119"/>
      <c r="K913" s="35"/>
    </row>
    <row r="914">
      <c r="B914" s="116"/>
      <c r="G914" s="117"/>
      <c r="H914" s="118"/>
      <c r="J914" s="119"/>
      <c r="K914" s="35"/>
    </row>
    <row r="915">
      <c r="B915" s="116"/>
      <c r="G915" s="117"/>
      <c r="H915" s="118"/>
      <c r="J915" s="119"/>
      <c r="K915" s="35"/>
    </row>
    <row r="916">
      <c r="B916" s="116"/>
      <c r="G916" s="117"/>
      <c r="H916" s="118"/>
      <c r="J916" s="119"/>
      <c r="K916" s="35"/>
    </row>
    <row r="917">
      <c r="B917" s="116"/>
      <c r="G917" s="117"/>
      <c r="H917" s="118"/>
      <c r="J917" s="119"/>
      <c r="K917" s="35"/>
    </row>
    <row r="918">
      <c r="B918" s="116"/>
      <c r="G918" s="117"/>
      <c r="H918" s="118"/>
      <c r="J918" s="119"/>
      <c r="K918" s="35"/>
    </row>
    <row r="919">
      <c r="B919" s="116"/>
      <c r="G919" s="117"/>
      <c r="H919" s="118"/>
      <c r="J919" s="119"/>
      <c r="K919" s="35"/>
    </row>
    <row r="920">
      <c r="B920" s="116"/>
      <c r="G920" s="117"/>
      <c r="H920" s="118"/>
      <c r="J920" s="119"/>
      <c r="K920" s="35"/>
    </row>
    <row r="921">
      <c r="B921" s="116"/>
      <c r="G921" s="117"/>
      <c r="H921" s="118"/>
      <c r="J921" s="119"/>
      <c r="K921" s="35"/>
    </row>
    <row r="922">
      <c r="B922" s="116"/>
      <c r="G922" s="117"/>
      <c r="H922" s="118"/>
      <c r="J922" s="119"/>
      <c r="K922" s="35"/>
    </row>
    <row r="923">
      <c r="B923" s="116"/>
      <c r="G923" s="117"/>
      <c r="H923" s="118"/>
      <c r="J923" s="119"/>
      <c r="K923" s="35"/>
    </row>
    <row r="924">
      <c r="B924" s="116"/>
      <c r="G924" s="117"/>
      <c r="H924" s="118"/>
      <c r="J924" s="119"/>
      <c r="K924" s="35"/>
    </row>
    <row r="925">
      <c r="B925" s="116"/>
      <c r="G925" s="117"/>
      <c r="H925" s="118"/>
      <c r="J925" s="119"/>
      <c r="K925" s="35"/>
    </row>
    <row r="926">
      <c r="B926" s="116"/>
      <c r="G926" s="117"/>
      <c r="H926" s="118"/>
      <c r="J926" s="119"/>
      <c r="K926" s="35"/>
    </row>
    <row r="927">
      <c r="B927" s="116"/>
      <c r="G927" s="117"/>
      <c r="H927" s="118"/>
      <c r="J927" s="119"/>
      <c r="K927" s="35"/>
    </row>
    <row r="928">
      <c r="B928" s="116"/>
      <c r="G928" s="117"/>
      <c r="H928" s="118"/>
      <c r="J928" s="119"/>
      <c r="K928" s="35"/>
    </row>
    <row r="929">
      <c r="B929" s="116"/>
      <c r="G929" s="117"/>
      <c r="H929" s="118"/>
      <c r="J929" s="119"/>
      <c r="K929" s="35"/>
    </row>
    <row r="930">
      <c r="B930" s="116"/>
      <c r="G930" s="117"/>
      <c r="H930" s="118"/>
      <c r="J930" s="119"/>
      <c r="K930" s="35"/>
    </row>
    <row r="931">
      <c r="B931" s="116"/>
      <c r="G931" s="117"/>
      <c r="H931" s="118"/>
      <c r="J931" s="119"/>
      <c r="K931" s="35"/>
    </row>
    <row r="932">
      <c r="B932" s="116"/>
      <c r="G932" s="117"/>
      <c r="H932" s="118"/>
      <c r="J932" s="119"/>
      <c r="K932" s="35"/>
    </row>
    <row r="933">
      <c r="B933" s="116"/>
      <c r="G933" s="117"/>
      <c r="H933" s="118"/>
      <c r="J933" s="119"/>
      <c r="K933" s="35"/>
    </row>
    <row r="934">
      <c r="B934" s="116"/>
      <c r="G934" s="117"/>
      <c r="H934" s="118"/>
      <c r="J934" s="119"/>
      <c r="K934" s="35"/>
    </row>
    <row r="935">
      <c r="B935" s="116"/>
      <c r="G935" s="117"/>
      <c r="H935" s="118"/>
      <c r="J935" s="119"/>
      <c r="K935" s="35"/>
    </row>
    <row r="936">
      <c r="B936" s="116"/>
      <c r="G936" s="117"/>
      <c r="H936" s="118"/>
      <c r="J936" s="119"/>
      <c r="K936" s="35"/>
    </row>
    <row r="937">
      <c r="B937" s="116"/>
      <c r="G937" s="117"/>
      <c r="H937" s="118"/>
      <c r="J937" s="119"/>
      <c r="K937" s="35"/>
    </row>
    <row r="938">
      <c r="B938" s="116"/>
      <c r="G938" s="117"/>
      <c r="H938" s="118"/>
      <c r="J938" s="119"/>
      <c r="K938" s="35"/>
    </row>
    <row r="939">
      <c r="B939" s="116"/>
      <c r="G939" s="117"/>
      <c r="H939" s="118"/>
      <c r="J939" s="119"/>
      <c r="K939" s="35"/>
    </row>
    <row r="940">
      <c r="B940" s="116"/>
      <c r="G940" s="117"/>
      <c r="H940" s="118"/>
      <c r="J940" s="119"/>
      <c r="K940" s="35"/>
    </row>
    <row r="941">
      <c r="B941" s="116"/>
      <c r="G941" s="117"/>
      <c r="H941" s="118"/>
      <c r="J941" s="119"/>
      <c r="K941" s="35"/>
    </row>
    <row r="942">
      <c r="B942" s="116"/>
      <c r="G942" s="117"/>
      <c r="H942" s="118"/>
      <c r="J942" s="119"/>
      <c r="K942" s="35"/>
    </row>
    <row r="943">
      <c r="B943" s="116"/>
      <c r="G943" s="117"/>
      <c r="H943" s="118"/>
      <c r="J943" s="119"/>
      <c r="K943" s="35"/>
    </row>
    <row r="944">
      <c r="B944" s="116"/>
      <c r="G944" s="117"/>
      <c r="H944" s="118"/>
      <c r="J944" s="119"/>
      <c r="K944" s="35"/>
    </row>
    <row r="945">
      <c r="B945" s="116"/>
      <c r="G945" s="117"/>
      <c r="H945" s="118"/>
      <c r="J945" s="119"/>
      <c r="K945" s="35"/>
    </row>
    <row r="946">
      <c r="B946" s="116"/>
      <c r="G946" s="117"/>
      <c r="H946" s="118"/>
      <c r="J946" s="119"/>
      <c r="K946" s="35"/>
    </row>
    <row r="947">
      <c r="B947" s="116"/>
      <c r="G947" s="117"/>
      <c r="H947" s="118"/>
      <c r="J947" s="119"/>
      <c r="K947" s="35"/>
    </row>
    <row r="948">
      <c r="B948" s="116"/>
      <c r="G948" s="117"/>
      <c r="H948" s="118"/>
      <c r="J948" s="119"/>
      <c r="K948" s="35"/>
    </row>
    <row r="949">
      <c r="B949" s="116"/>
      <c r="G949" s="117"/>
      <c r="H949" s="118"/>
      <c r="J949" s="119"/>
      <c r="K949" s="35"/>
    </row>
    <row r="950">
      <c r="B950" s="116"/>
      <c r="G950" s="117"/>
      <c r="H950" s="118"/>
      <c r="J950" s="119"/>
      <c r="K950" s="35"/>
    </row>
    <row r="951">
      <c r="B951" s="116"/>
      <c r="G951" s="117"/>
      <c r="H951" s="118"/>
      <c r="J951" s="119"/>
      <c r="K951" s="35"/>
    </row>
    <row r="952">
      <c r="B952" s="116"/>
      <c r="G952" s="117"/>
      <c r="H952" s="118"/>
      <c r="J952" s="119"/>
      <c r="K952" s="35"/>
    </row>
    <row r="953">
      <c r="B953" s="116"/>
      <c r="G953" s="117"/>
      <c r="H953" s="118"/>
      <c r="J953" s="119"/>
      <c r="K953" s="35"/>
    </row>
    <row r="954">
      <c r="B954" s="116"/>
      <c r="G954" s="117"/>
      <c r="H954" s="118"/>
      <c r="J954" s="119"/>
      <c r="K954" s="35"/>
    </row>
    <row r="955">
      <c r="B955" s="116"/>
      <c r="G955" s="117"/>
      <c r="H955" s="118"/>
      <c r="J955" s="119"/>
      <c r="K955" s="35"/>
    </row>
    <row r="956">
      <c r="B956" s="116"/>
      <c r="G956" s="117"/>
      <c r="H956" s="118"/>
      <c r="J956" s="119"/>
      <c r="K956" s="35"/>
    </row>
    <row r="957">
      <c r="B957" s="116"/>
      <c r="G957" s="117"/>
      <c r="H957" s="118"/>
      <c r="J957" s="119"/>
      <c r="K957" s="35"/>
    </row>
    <row r="958">
      <c r="B958" s="116"/>
      <c r="G958" s="117"/>
      <c r="H958" s="118"/>
      <c r="J958" s="119"/>
      <c r="K958" s="35"/>
    </row>
    <row r="959">
      <c r="B959" s="116"/>
      <c r="G959" s="117"/>
      <c r="H959" s="118"/>
      <c r="J959" s="119"/>
      <c r="K959" s="35"/>
    </row>
    <row r="960">
      <c r="B960" s="116"/>
      <c r="G960" s="117"/>
      <c r="H960" s="118"/>
      <c r="J960" s="119"/>
      <c r="K960" s="35"/>
    </row>
    <row r="961">
      <c r="B961" s="116"/>
      <c r="G961" s="117"/>
      <c r="H961" s="118"/>
      <c r="J961" s="119"/>
      <c r="K961" s="35"/>
    </row>
    <row r="962">
      <c r="B962" s="116"/>
      <c r="G962" s="117"/>
      <c r="H962" s="118"/>
      <c r="J962" s="119"/>
      <c r="K962" s="35"/>
    </row>
    <row r="963">
      <c r="B963" s="116"/>
      <c r="G963" s="117"/>
      <c r="H963" s="118"/>
      <c r="J963" s="119"/>
      <c r="K963" s="35"/>
    </row>
  </sheetData>
  <autoFilter ref="$A$1:$J$963"/>
  <hyperlinks>
    <hyperlink r:id="rId1" ref="I2"/>
    <hyperlink r:id="rId2" ref="I5"/>
    <hyperlink r:id="rId3" ref="I8"/>
    <hyperlink r:id="rId4" ref="I11"/>
    <hyperlink r:id="rId5" ref="I14"/>
    <hyperlink r:id="rId6" ref="I17"/>
    <hyperlink r:id="rId7" ref="I20"/>
    <hyperlink r:id="rId8" ref="I23"/>
    <hyperlink r:id="rId9" ref="I26"/>
    <hyperlink r:id="rId10" ref="I29"/>
    <hyperlink r:id="rId11" ref="I32"/>
    <hyperlink r:id="rId12" ref="I35"/>
    <hyperlink r:id="rId13" ref="I38"/>
    <hyperlink r:id="rId14" ref="I41"/>
    <hyperlink r:id="rId15" ref="I44"/>
    <hyperlink r:id="rId16" ref="I4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min="2" max="2" width="31.14"/>
    <col customWidth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hidden="1" min="9" max="9" width="27.57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0" t="s">
        <v>53</v>
      </c>
      <c r="C1" s="11" t="s">
        <v>54</v>
      </c>
      <c r="D1" s="12" t="s">
        <v>55</v>
      </c>
      <c r="E1" s="13" t="s">
        <v>56</v>
      </c>
      <c r="F1" s="12" t="s">
        <v>57</v>
      </c>
      <c r="G1" s="14" t="s">
        <v>58</v>
      </c>
      <c r="H1" s="15" t="s">
        <v>59</v>
      </c>
      <c r="I1" s="16" t="s">
        <v>60</v>
      </c>
      <c r="J1" s="17" t="s">
        <v>61</v>
      </c>
      <c r="K1" s="18"/>
      <c r="L1" s="19" t="s">
        <v>62</v>
      </c>
      <c r="M1" s="19" t="s">
        <v>52</v>
      </c>
      <c r="N1" s="19" t="s">
        <v>63</v>
      </c>
      <c r="O1" s="20" t="s">
        <v>59</v>
      </c>
      <c r="P1" s="21"/>
      <c r="Q1" s="22" t="s">
        <v>64</v>
      </c>
      <c r="R1" s="23">
        <v>46057.0</v>
      </c>
      <c r="S1" s="22" t="s">
        <v>65</v>
      </c>
      <c r="T1" s="24" t="s">
        <v>139</v>
      </c>
      <c r="U1" s="25" t="s">
        <v>67</v>
      </c>
      <c r="V1" s="24">
        <v>287.0</v>
      </c>
      <c r="W1" s="21"/>
      <c r="X1" s="21"/>
      <c r="Y1" s="21"/>
      <c r="Z1" s="21"/>
    </row>
    <row r="2">
      <c r="A2" s="28" t="s">
        <v>2</v>
      </c>
      <c r="B2" s="27" t="s">
        <v>68</v>
      </c>
      <c r="C2" s="28" t="s">
        <v>58</v>
      </c>
      <c r="D2" s="29" t="s">
        <v>69</v>
      </c>
      <c r="E2" s="30" t="s">
        <v>70</v>
      </c>
      <c r="F2" s="28" t="s">
        <v>71</v>
      </c>
      <c r="G2" s="31">
        <f>SUMIFS('Enero Data'!C:C,'Enero Data'!A:A,B2,'Enero Data'!B:B,F2)</f>
        <v>4095983.79</v>
      </c>
      <c r="H2" s="32" t="str">
        <f>VLOOKUP(B2,'Enero Data'!A:D,4,FALSE)</f>
        <v>UESP1422</v>
      </c>
      <c r="I2" s="33" t="s">
        <v>3</v>
      </c>
      <c r="J2" s="34" t="s">
        <v>140</v>
      </c>
      <c r="K2" s="35"/>
      <c r="L2" s="36" t="b">
        <v>0</v>
      </c>
      <c r="M2" s="37" t="s">
        <v>2</v>
      </c>
      <c r="N2" s="38" t="s">
        <v>3</v>
      </c>
      <c r="O2" s="37"/>
    </row>
    <row r="3">
      <c r="A3" s="41" t="s">
        <v>2</v>
      </c>
      <c r="B3" s="40" t="s">
        <v>68</v>
      </c>
      <c r="C3" s="41" t="s">
        <v>72</v>
      </c>
      <c r="D3" s="42" t="s">
        <v>69</v>
      </c>
      <c r="E3" s="43" t="s">
        <v>70</v>
      </c>
      <c r="F3" s="41" t="s">
        <v>73</v>
      </c>
      <c r="G3" s="44">
        <f>SUMIFS('Enero Data'!C:C,'Enero Data'!A:A,B3,'Enero Data'!B:B,F3)</f>
        <v>88460.21</v>
      </c>
      <c r="H3" s="45" t="str">
        <f>VLOOKUP(B3,'Enero Data'!A:D,4,FALSE)</f>
        <v>UESP1422</v>
      </c>
      <c r="I3" s="46" t="s">
        <v>3</v>
      </c>
      <c r="J3" s="47"/>
      <c r="K3" s="35"/>
      <c r="L3" s="36" t="b">
        <v>0</v>
      </c>
      <c r="M3" s="127" t="s">
        <v>38</v>
      </c>
      <c r="N3" s="38" t="s">
        <v>39</v>
      </c>
      <c r="O3" s="37"/>
    </row>
    <row r="4">
      <c r="A4" s="50" t="s">
        <v>2</v>
      </c>
      <c r="B4" s="128" t="s">
        <v>68</v>
      </c>
      <c r="C4" s="129" t="s">
        <v>72</v>
      </c>
      <c r="D4" s="50" t="s">
        <v>69</v>
      </c>
      <c r="E4" s="51" t="s">
        <v>70</v>
      </c>
      <c r="F4" s="50" t="s">
        <v>74</v>
      </c>
      <c r="G4" s="52">
        <f>G2+G3</f>
        <v>4184444</v>
      </c>
      <c r="H4" s="53" t="str">
        <f>VLOOKUP(B4,'Enero Data'!A:D,4,FALSE)</f>
        <v>UESP1422</v>
      </c>
      <c r="I4" s="54"/>
      <c r="J4" s="55"/>
      <c r="K4" s="35"/>
      <c r="L4" s="36" t="b">
        <v>0</v>
      </c>
      <c r="M4" s="37" t="s">
        <v>4</v>
      </c>
      <c r="N4" s="38" t="s">
        <v>5</v>
      </c>
      <c r="O4" s="37"/>
    </row>
    <row r="5" hidden="1">
      <c r="A5" s="39" t="s">
        <v>2</v>
      </c>
      <c r="B5" s="40" t="s">
        <v>68</v>
      </c>
      <c r="C5" s="41" t="s">
        <v>59</v>
      </c>
      <c r="D5" s="56" t="s">
        <v>59</v>
      </c>
      <c r="E5" s="43" t="s">
        <v>70</v>
      </c>
      <c r="F5" s="41" t="s">
        <v>75</v>
      </c>
      <c r="G5" s="44">
        <f>G4*5%</f>
        <v>209222.2</v>
      </c>
      <c r="H5" s="45" t="str">
        <f>VLOOKUP(B5,'Enero Data'!A:D,4,FALSE)</f>
        <v>UESP1422</v>
      </c>
      <c r="I5" s="33" t="s">
        <v>3</v>
      </c>
      <c r="J5" s="47"/>
      <c r="K5" s="35"/>
      <c r="L5" s="36" t="b">
        <v>0</v>
      </c>
      <c r="M5" s="37" t="s">
        <v>6</v>
      </c>
      <c r="N5" s="38" t="s">
        <v>7</v>
      </c>
      <c r="O5" s="37"/>
    </row>
    <row r="6" hidden="1">
      <c r="A6" s="39" t="s">
        <v>2</v>
      </c>
      <c r="B6" s="40" t="s">
        <v>68</v>
      </c>
      <c r="C6" s="41" t="s">
        <v>59</v>
      </c>
      <c r="D6" s="56" t="s">
        <v>59</v>
      </c>
      <c r="E6" s="43" t="s">
        <v>70</v>
      </c>
      <c r="F6" s="41" t="s">
        <v>58</v>
      </c>
      <c r="G6" s="44">
        <f>G5</f>
        <v>209222.2</v>
      </c>
      <c r="H6" s="45" t="str">
        <f>VLOOKUP(B6,'Enero Data'!A:D,4,FALSE)</f>
        <v>UESP1422</v>
      </c>
      <c r="I6" s="57" t="s">
        <v>3</v>
      </c>
      <c r="J6" s="47"/>
      <c r="K6" s="35"/>
      <c r="L6" s="36" t="b">
        <v>0</v>
      </c>
      <c r="M6" s="37" t="s">
        <v>10</v>
      </c>
      <c r="N6" s="38" t="s">
        <v>11</v>
      </c>
      <c r="O6" s="37"/>
    </row>
    <row r="7">
      <c r="A7" s="28" t="s">
        <v>38</v>
      </c>
      <c r="B7" s="27" t="s">
        <v>76</v>
      </c>
      <c r="C7" s="28" t="s">
        <v>58</v>
      </c>
      <c r="D7" s="29" t="s">
        <v>69</v>
      </c>
      <c r="E7" s="30" t="s">
        <v>77</v>
      </c>
      <c r="F7" s="28" t="s">
        <v>71</v>
      </c>
      <c r="G7" s="31">
        <f>SUMIFS('Enero Data'!C:C,'Enero Data'!A:A,B7,'Enero Data'!B:B,F7)</f>
        <v>0</v>
      </c>
      <c r="H7" s="32" t="str">
        <f>VLOOKUP(B7,'Enero Data'!A:D,4,FALSE)</f>
        <v>#N/A</v>
      </c>
      <c r="I7" s="33" t="s">
        <v>39</v>
      </c>
      <c r="J7" s="59" t="str">
        <f>J2</f>
        <v>405</v>
      </c>
      <c r="K7" s="35"/>
      <c r="L7" s="36" t="b">
        <v>0</v>
      </c>
      <c r="M7" s="37" t="s">
        <v>12</v>
      </c>
      <c r="N7" s="38" t="s">
        <v>13</v>
      </c>
      <c r="O7" s="37"/>
    </row>
    <row r="8">
      <c r="A8" s="41" t="s">
        <v>38</v>
      </c>
      <c r="B8" s="40" t="s">
        <v>76</v>
      </c>
      <c r="C8" s="41" t="s">
        <v>72</v>
      </c>
      <c r="D8" s="42" t="s">
        <v>69</v>
      </c>
      <c r="E8" s="43" t="s">
        <v>77</v>
      </c>
      <c r="F8" s="41" t="s">
        <v>73</v>
      </c>
      <c r="G8" s="44">
        <f>SUMIFS('Enero Data'!C:C,'Enero Data'!A:A,B8,'Enero Data'!B:B,F8)</f>
        <v>0</v>
      </c>
      <c r="H8" s="45" t="str">
        <f>VLOOKUP(B8,'Enero Data'!A:D,4,FALSE)</f>
        <v>#N/A</v>
      </c>
      <c r="I8" s="46" t="s">
        <v>39</v>
      </c>
      <c r="J8" s="47"/>
      <c r="K8" s="35"/>
      <c r="L8" s="36" t="b">
        <v>0</v>
      </c>
      <c r="M8" s="37" t="s">
        <v>40</v>
      </c>
      <c r="N8" s="38" t="s">
        <v>41</v>
      </c>
      <c r="O8" s="37"/>
    </row>
    <row r="9">
      <c r="A9" s="50" t="s">
        <v>38</v>
      </c>
      <c r="B9" s="128" t="s">
        <v>76</v>
      </c>
      <c r="C9" s="129" t="s">
        <v>72</v>
      </c>
      <c r="D9" s="50" t="s">
        <v>69</v>
      </c>
      <c r="E9" s="51" t="s">
        <v>77</v>
      </c>
      <c r="F9" s="50" t="s">
        <v>74</v>
      </c>
      <c r="G9" s="52">
        <f>G8+G7</f>
        <v>0</v>
      </c>
      <c r="H9" s="53" t="str">
        <f>VLOOKUP(B9,'Enero Data'!A:D,4,FALSE)</f>
        <v>#N/A</v>
      </c>
      <c r="I9" s="54"/>
      <c r="J9" s="55"/>
      <c r="K9" s="35"/>
      <c r="L9" s="36" t="b">
        <v>0</v>
      </c>
      <c r="M9" s="37" t="s">
        <v>14</v>
      </c>
      <c r="N9" s="38" t="s">
        <v>15</v>
      </c>
      <c r="O9" s="37"/>
    </row>
    <row r="10" hidden="1">
      <c r="A10" s="60" t="s">
        <v>38</v>
      </c>
      <c r="B10" s="40" t="s">
        <v>76</v>
      </c>
      <c r="C10" s="41" t="s">
        <v>59</v>
      </c>
      <c r="D10" s="56" t="s">
        <v>59</v>
      </c>
      <c r="E10" s="43" t="s">
        <v>77</v>
      </c>
      <c r="F10" s="41" t="s">
        <v>75</v>
      </c>
      <c r="G10" s="44">
        <f>G9*5%</f>
        <v>0</v>
      </c>
      <c r="H10" s="45" t="str">
        <f>VLOOKUP(B10,'Enero Data'!A:D,4,FALSE)</f>
        <v>#N/A</v>
      </c>
      <c r="I10" s="54"/>
      <c r="J10" s="47"/>
      <c r="K10" s="35"/>
      <c r="L10" s="36" t="b">
        <v>0</v>
      </c>
      <c r="M10" s="37" t="s">
        <v>16</v>
      </c>
      <c r="N10" s="38" t="s">
        <v>17</v>
      </c>
      <c r="O10" s="37"/>
    </row>
    <row r="11" hidden="1">
      <c r="A11" s="60" t="s">
        <v>38</v>
      </c>
      <c r="B11" s="40" t="s">
        <v>76</v>
      </c>
      <c r="C11" s="41" t="s">
        <v>59</v>
      </c>
      <c r="D11" s="56" t="s">
        <v>59</v>
      </c>
      <c r="E11" s="43" t="s">
        <v>77</v>
      </c>
      <c r="F11" s="41" t="s">
        <v>58</v>
      </c>
      <c r="G11" s="62">
        <f>G10</f>
        <v>0</v>
      </c>
      <c r="H11" s="45" t="str">
        <f>VLOOKUP(B11,'Enero Data'!A:D,4,FALSE)</f>
        <v>#N/A</v>
      </c>
      <c r="I11" s="54"/>
      <c r="J11" s="47"/>
      <c r="K11" s="35"/>
      <c r="L11" s="36" t="b">
        <v>0</v>
      </c>
      <c r="M11" s="37" t="s">
        <v>42</v>
      </c>
      <c r="N11" s="38" t="s">
        <v>43</v>
      </c>
      <c r="O11" s="37"/>
    </row>
    <row r="12">
      <c r="A12" s="28" t="s">
        <v>4</v>
      </c>
      <c r="B12" s="27" t="s">
        <v>78</v>
      </c>
      <c r="C12" s="28" t="s">
        <v>58</v>
      </c>
      <c r="D12" s="29" t="s">
        <v>69</v>
      </c>
      <c r="E12" s="30" t="s">
        <v>79</v>
      </c>
      <c r="F12" s="28" t="s">
        <v>71</v>
      </c>
      <c r="G12" s="31">
        <f>SUMIFS('Enero Data'!C:C,'Enero Data'!A:A,B12,'Enero Data'!B:B,F12)</f>
        <v>2716852.37</v>
      </c>
      <c r="H12" s="63" t="str">
        <f>VLOOKUP(B12,'Enero Data'!A:D,4,FALSE)</f>
        <v>UESP1433</v>
      </c>
      <c r="I12" s="64" t="s">
        <v>5</v>
      </c>
      <c r="J12" s="65">
        <f>J2+1</f>
        <v>406</v>
      </c>
      <c r="K12" s="35"/>
      <c r="L12" s="36" t="b">
        <v>0</v>
      </c>
      <c r="M12" s="37" t="s">
        <v>18</v>
      </c>
      <c r="N12" s="38" t="s">
        <v>19</v>
      </c>
      <c r="O12" s="37"/>
    </row>
    <row r="13">
      <c r="A13" s="41" t="s">
        <v>4</v>
      </c>
      <c r="B13" s="40" t="s">
        <v>78</v>
      </c>
      <c r="C13" s="41" t="s">
        <v>72</v>
      </c>
      <c r="D13" s="42" t="s">
        <v>69</v>
      </c>
      <c r="E13" s="43" t="s">
        <v>79</v>
      </c>
      <c r="F13" s="41" t="s">
        <v>73</v>
      </c>
      <c r="G13" s="44">
        <f>SUMIFS('Enero Data'!C:C,'Enero Data'!A:A,B13,'Enero Data'!B:B,F13)</f>
        <v>4102.6</v>
      </c>
      <c r="H13" s="66" t="str">
        <f>VLOOKUP(B13,'Enero Data'!A:D,4,FALSE)</f>
        <v>UESP1433</v>
      </c>
      <c r="I13" s="67" t="s">
        <v>5</v>
      </c>
      <c r="J13" s="68"/>
      <c r="K13" s="35"/>
      <c r="L13" s="36" t="b">
        <v>0</v>
      </c>
      <c r="M13" s="37" t="s">
        <v>20</v>
      </c>
      <c r="N13" s="38" t="s">
        <v>21</v>
      </c>
      <c r="O13" s="37"/>
    </row>
    <row r="14">
      <c r="A14" s="71" t="s">
        <v>4</v>
      </c>
      <c r="B14" s="70" t="s">
        <v>78</v>
      </c>
      <c r="C14" s="71" t="s">
        <v>72</v>
      </c>
      <c r="D14" s="72" t="s">
        <v>69</v>
      </c>
      <c r="E14" s="73"/>
      <c r="F14" s="71" t="s">
        <v>80</v>
      </c>
      <c r="G14" s="62">
        <f>(G12+G13)*4%</f>
        <v>108838.1988</v>
      </c>
      <c r="H14" s="66" t="str">
        <f>VLOOKUP(B14,'Enero Data'!A:D,4,FALSE)</f>
        <v>UESP1433</v>
      </c>
      <c r="I14" s="71"/>
      <c r="J14" s="76"/>
      <c r="K14" s="35"/>
      <c r="L14" s="36" t="b">
        <v>0</v>
      </c>
      <c r="M14" s="37" t="s">
        <v>22</v>
      </c>
      <c r="N14" s="38" t="s">
        <v>23</v>
      </c>
      <c r="O14" s="37"/>
    </row>
    <row r="15">
      <c r="A15" s="50" t="s">
        <v>4</v>
      </c>
      <c r="B15" s="128" t="s">
        <v>78</v>
      </c>
      <c r="C15" s="129" t="s">
        <v>72</v>
      </c>
      <c r="D15" s="50" t="s">
        <v>69</v>
      </c>
      <c r="E15" s="51" t="s">
        <v>79</v>
      </c>
      <c r="F15" s="50" t="s">
        <v>74</v>
      </c>
      <c r="G15" s="52">
        <f>G12+G13-G14</f>
        <v>2612116.771</v>
      </c>
      <c r="H15" s="53" t="str">
        <f>VLOOKUP(B15,'Enero Data'!A:D,4,FALSE)</f>
        <v>UESP1433</v>
      </c>
      <c r="I15" s="54"/>
      <c r="J15" s="78"/>
      <c r="K15" s="35"/>
      <c r="L15" s="36" t="b">
        <v>0</v>
      </c>
      <c r="M15" s="37" t="s">
        <v>24</v>
      </c>
      <c r="N15" s="38" t="s">
        <v>25</v>
      </c>
      <c r="O15" s="37"/>
    </row>
    <row r="16" hidden="1">
      <c r="A16" s="37" t="s">
        <v>4</v>
      </c>
      <c r="B16" s="40" t="s">
        <v>78</v>
      </c>
      <c r="C16" s="41" t="s">
        <v>59</v>
      </c>
      <c r="D16" s="56" t="s">
        <v>59</v>
      </c>
      <c r="E16" s="43" t="s">
        <v>79</v>
      </c>
      <c r="F16" s="41" t="s">
        <v>75</v>
      </c>
      <c r="G16" s="44">
        <f>G15*5%</f>
        <v>130605.8386</v>
      </c>
      <c r="H16" s="45" t="str">
        <f>VLOOKUP(B16,'Enero Data'!A:D,4,FALSE)</f>
        <v>UESP1433</v>
      </c>
      <c r="I16" s="54"/>
      <c r="J16" s="79"/>
      <c r="K16" s="35"/>
      <c r="L16" s="36" t="b">
        <v>0</v>
      </c>
      <c r="M16" s="37" t="s">
        <v>26</v>
      </c>
      <c r="N16" s="38" t="s">
        <v>27</v>
      </c>
      <c r="O16" s="37"/>
    </row>
    <row r="17" hidden="1">
      <c r="A17" s="80" t="s">
        <v>4</v>
      </c>
      <c r="B17" s="70" t="s">
        <v>78</v>
      </c>
      <c r="C17" s="71" t="s">
        <v>59</v>
      </c>
      <c r="D17" s="81" t="s">
        <v>59</v>
      </c>
      <c r="E17" s="73" t="s">
        <v>79</v>
      </c>
      <c r="F17" s="71" t="s">
        <v>58</v>
      </c>
      <c r="G17" s="62">
        <f>G16</f>
        <v>130605.8386</v>
      </c>
      <c r="H17" s="82" t="str">
        <f>VLOOKUP(B17,'Enero Data'!A:D,4,FALSE)</f>
        <v>UESP1433</v>
      </c>
      <c r="I17" s="54"/>
      <c r="J17" s="83"/>
      <c r="K17" s="35"/>
      <c r="L17" s="36" t="b">
        <v>0</v>
      </c>
      <c r="M17" s="37" t="s">
        <v>28</v>
      </c>
      <c r="N17" s="38" t="s">
        <v>29</v>
      </c>
      <c r="O17" s="37"/>
    </row>
    <row r="18" ht="16.5" customHeight="1">
      <c r="A18" s="28" t="s">
        <v>6</v>
      </c>
      <c r="B18" s="27" t="s">
        <v>141</v>
      </c>
      <c r="C18" s="28" t="s">
        <v>58</v>
      </c>
      <c r="D18" s="29" t="s">
        <v>69</v>
      </c>
      <c r="E18" s="30" t="s">
        <v>82</v>
      </c>
      <c r="F18" s="28" t="s">
        <v>71</v>
      </c>
      <c r="G18" s="31">
        <f>SUMIFS('Enero Data'!C:C,'Enero Data'!A:A,B18,'Enero Data'!B:B,F18)</f>
        <v>4906552.8</v>
      </c>
      <c r="H18" s="32" t="str">
        <f>VLOOKUP(B18,'Enero Data'!A:D,4,FALSE)</f>
        <v>UESP1424</v>
      </c>
      <c r="I18" s="33" t="s">
        <v>7</v>
      </c>
      <c r="J18" s="85">
        <f>J12+1</f>
        <v>407</v>
      </c>
      <c r="K18" s="35"/>
      <c r="L18" s="36" t="b">
        <v>0</v>
      </c>
      <c r="M18" s="37" t="s">
        <v>30</v>
      </c>
      <c r="N18" s="38" t="s">
        <v>31</v>
      </c>
      <c r="O18" s="37"/>
    </row>
    <row r="19" ht="16.5" customHeight="1">
      <c r="A19" s="71" t="s">
        <v>6</v>
      </c>
      <c r="B19" s="70" t="s">
        <v>141</v>
      </c>
      <c r="C19" s="71" t="s">
        <v>72</v>
      </c>
      <c r="D19" s="72" t="s">
        <v>69</v>
      </c>
      <c r="E19" s="73" t="s">
        <v>82</v>
      </c>
      <c r="F19" s="71" t="s">
        <v>73</v>
      </c>
      <c r="G19" s="62">
        <f>SUMIFS('Enero Data'!C:C,'Enero Data'!A:A,B19,'Enero Data'!B:B,F19)</f>
        <v>0</v>
      </c>
      <c r="H19" s="82" t="str">
        <f>VLOOKUP(B19,'Enero Data'!A:D,4,FALSE)</f>
        <v>UESP1424</v>
      </c>
      <c r="I19" s="46" t="s">
        <v>7</v>
      </c>
      <c r="J19" s="87"/>
      <c r="K19" s="35"/>
      <c r="L19" s="36" t="b">
        <v>0</v>
      </c>
      <c r="M19" s="37" t="s">
        <v>32</v>
      </c>
      <c r="N19" s="38" t="s">
        <v>33</v>
      </c>
      <c r="O19" s="37"/>
    </row>
    <row r="20" ht="16.5" customHeight="1">
      <c r="A20" s="50" t="s">
        <v>6</v>
      </c>
      <c r="B20" s="128" t="s">
        <v>141</v>
      </c>
      <c r="C20" s="129" t="s">
        <v>72</v>
      </c>
      <c r="D20" s="50" t="s">
        <v>69</v>
      </c>
      <c r="E20" s="51" t="s">
        <v>82</v>
      </c>
      <c r="F20" s="50" t="s">
        <v>74</v>
      </c>
      <c r="G20" s="52">
        <f>G19+G18</f>
        <v>4906552.8</v>
      </c>
      <c r="H20" s="53" t="str">
        <f>VLOOKUP(B20,'Enero Data'!A:D,4,FALSE)</f>
        <v>UESP1424</v>
      </c>
      <c r="I20" s="54"/>
      <c r="J20" s="78"/>
      <c r="K20" s="35"/>
      <c r="L20" s="36" t="b">
        <v>1</v>
      </c>
      <c r="M20" s="37" t="s">
        <v>34</v>
      </c>
      <c r="N20" s="38" t="s">
        <v>35</v>
      </c>
      <c r="O20" s="37"/>
    </row>
    <row r="21" ht="16.5" hidden="1" customHeight="1">
      <c r="A21" s="84" t="s">
        <v>6</v>
      </c>
      <c r="B21" s="27" t="s">
        <v>141</v>
      </c>
      <c r="C21" s="28" t="s">
        <v>59</v>
      </c>
      <c r="D21" s="56" t="s">
        <v>59</v>
      </c>
      <c r="E21" s="88"/>
      <c r="F21" s="41" t="s">
        <v>75</v>
      </c>
      <c r="G21" s="44">
        <f>G20*5%</f>
        <v>245327.64</v>
      </c>
      <c r="H21" s="45" t="str">
        <f>VLOOKUP(B21,'Enero Data'!A:D,4,FALSE)</f>
        <v>UESP1424</v>
      </c>
      <c r="I21" s="54"/>
      <c r="J21" s="85"/>
      <c r="K21" s="35"/>
      <c r="L21" s="36" t="b">
        <v>0</v>
      </c>
      <c r="M21" s="37" t="s">
        <v>44</v>
      </c>
      <c r="N21" s="38" t="s">
        <v>45</v>
      </c>
      <c r="O21" s="37"/>
    </row>
    <row r="22" ht="16.5" hidden="1" customHeight="1">
      <c r="A22" s="36" t="s">
        <v>6</v>
      </c>
      <c r="B22" s="40" t="s">
        <v>141</v>
      </c>
      <c r="C22" s="41" t="s">
        <v>59</v>
      </c>
      <c r="D22" s="56" t="s">
        <v>59</v>
      </c>
      <c r="E22" s="88"/>
      <c r="F22" s="41" t="s">
        <v>58</v>
      </c>
      <c r="G22" s="62">
        <f>G21</f>
        <v>245327.64</v>
      </c>
      <c r="H22" s="45" t="str">
        <f>VLOOKUP(B22,'Enero Data'!A:D,4,FALSE)</f>
        <v>UESP1424</v>
      </c>
      <c r="I22" s="54"/>
      <c r="J22" s="89"/>
      <c r="K22" s="35"/>
      <c r="L22" s="36" t="b">
        <v>1</v>
      </c>
      <c r="M22" s="80" t="s">
        <v>36</v>
      </c>
      <c r="N22" s="90" t="s">
        <v>37</v>
      </c>
      <c r="O22" s="37"/>
    </row>
    <row r="23">
      <c r="A23" s="28" t="s">
        <v>10</v>
      </c>
      <c r="B23" s="27" t="s">
        <v>83</v>
      </c>
      <c r="C23" s="28" t="s">
        <v>58</v>
      </c>
      <c r="D23" s="29" t="s">
        <v>69</v>
      </c>
      <c r="E23" s="30" t="s">
        <v>84</v>
      </c>
      <c r="F23" s="28" t="s">
        <v>71</v>
      </c>
      <c r="G23" s="31">
        <f>SUMIFS('Enero Data'!C:C,'Enero Data'!A:A,B23,'Enero Data'!B:B,F23)</f>
        <v>4209142.2</v>
      </c>
      <c r="H23" s="32" t="str">
        <f>VLOOKUP(B23,'Enero Data'!A:D,4,FALSE)</f>
        <v>UESP1420</v>
      </c>
      <c r="I23" s="33" t="s">
        <v>11</v>
      </c>
      <c r="J23" s="85">
        <f>J18+1</f>
        <v>408</v>
      </c>
      <c r="K23" s="35"/>
      <c r="O23" s="37"/>
    </row>
    <row r="24">
      <c r="A24" s="71" t="s">
        <v>10</v>
      </c>
      <c r="B24" s="70" t="s">
        <v>83</v>
      </c>
      <c r="C24" s="71" t="s">
        <v>72</v>
      </c>
      <c r="D24" s="72" t="s">
        <v>69</v>
      </c>
      <c r="E24" s="73" t="s">
        <v>84</v>
      </c>
      <c r="F24" s="71" t="s">
        <v>73</v>
      </c>
      <c r="G24" s="62">
        <f>SUMIFS('Enero Data'!C:C,'Enero Data'!A:A,B24,'Enero Data'!B:B,F24)</f>
        <v>0</v>
      </c>
      <c r="H24" s="82" t="str">
        <f>VLOOKUP(B24,'Enero Data'!A:D,4,FALSE)</f>
        <v>UESP1420</v>
      </c>
      <c r="I24" s="46" t="s">
        <v>11</v>
      </c>
      <c r="J24" s="83"/>
      <c r="K24" s="35"/>
      <c r="O24" s="37"/>
    </row>
    <row r="25">
      <c r="A25" s="50" t="s">
        <v>10</v>
      </c>
      <c r="B25" s="128" t="s">
        <v>83</v>
      </c>
      <c r="C25" s="129" t="s">
        <v>72</v>
      </c>
      <c r="D25" s="50" t="s">
        <v>69</v>
      </c>
      <c r="E25" s="51" t="s">
        <v>84</v>
      </c>
      <c r="F25" s="50" t="s">
        <v>74</v>
      </c>
      <c r="G25" s="52">
        <f>G24+G23</f>
        <v>4209142.2</v>
      </c>
      <c r="H25" s="53" t="str">
        <f>VLOOKUP(B25,'Enero Data'!A:D,4,FALSE)</f>
        <v>UESP1420</v>
      </c>
      <c r="I25" s="54"/>
      <c r="J25" s="78"/>
      <c r="K25" s="35"/>
      <c r="O25" s="37"/>
    </row>
    <row r="26" hidden="1">
      <c r="A26" s="91" t="s">
        <v>10</v>
      </c>
      <c r="B26" s="27" t="s">
        <v>83</v>
      </c>
      <c r="C26" s="28" t="s">
        <v>59</v>
      </c>
      <c r="D26" s="56" t="s">
        <v>59</v>
      </c>
      <c r="E26" s="88"/>
      <c r="F26" s="41" t="s">
        <v>75</v>
      </c>
      <c r="G26" s="44">
        <f>G25*5%</f>
        <v>210457.11</v>
      </c>
      <c r="H26" s="45" t="str">
        <f>VLOOKUP(B26,'Enero Data'!A:D,4,FALSE)</f>
        <v>UESP1420</v>
      </c>
      <c r="I26" s="54"/>
      <c r="J26" s="92"/>
      <c r="K26" s="35"/>
      <c r="O26" s="37"/>
    </row>
    <row r="27" hidden="1">
      <c r="A27" s="80" t="s">
        <v>10</v>
      </c>
      <c r="B27" s="70" t="s">
        <v>83</v>
      </c>
      <c r="C27" s="71" t="s">
        <v>59</v>
      </c>
      <c r="D27" s="81" t="s">
        <v>59</v>
      </c>
      <c r="E27" s="88"/>
      <c r="F27" s="71" t="s">
        <v>58</v>
      </c>
      <c r="G27" s="62">
        <f>G26</f>
        <v>210457.11</v>
      </c>
      <c r="H27" s="82" t="str">
        <f>VLOOKUP(B27,'Enero Data'!A:D,4,FALSE)</f>
        <v>UESP1420</v>
      </c>
      <c r="I27" s="54"/>
      <c r="J27" s="83"/>
      <c r="K27" s="35"/>
      <c r="O27" s="37"/>
    </row>
    <row r="28">
      <c r="A28" s="28" t="s">
        <v>12</v>
      </c>
      <c r="B28" s="27" t="s">
        <v>85</v>
      </c>
      <c r="C28" s="28" t="s">
        <v>58</v>
      </c>
      <c r="D28" s="29" t="s">
        <v>69</v>
      </c>
      <c r="E28" s="30" t="s">
        <v>86</v>
      </c>
      <c r="F28" s="28" t="s">
        <v>71</v>
      </c>
      <c r="G28" s="31">
        <f>SUMIFS('Enero Data'!C:C,'Enero Data'!A:A,B28,'Enero Data'!B:B,F28)</f>
        <v>2372766.75</v>
      </c>
      <c r="H28" s="32" t="str">
        <f>VLOOKUP(B28,'Enero Data'!A:D,4,FALSE)</f>
        <v>UESP1416</v>
      </c>
      <c r="I28" s="33" t="s">
        <v>13</v>
      </c>
      <c r="J28" s="85">
        <f>J23+1</f>
        <v>409</v>
      </c>
      <c r="K28" s="93"/>
      <c r="O28" s="37"/>
    </row>
    <row r="29">
      <c r="A29" s="71" t="s">
        <v>12</v>
      </c>
      <c r="B29" s="70" t="s">
        <v>85</v>
      </c>
      <c r="C29" s="71" t="s">
        <v>72</v>
      </c>
      <c r="D29" s="72" t="s">
        <v>69</v>
      </c>
      <c r="E29" s="73" t="s">
        <v>86</v>
      </c>
      <c r="F29" s="71" t="s">
        <v>73</v>
      </c>
      <c r="G29" s="62">
        <f>SUMIFS('Enero Data'!C:C,'Enero Data'!A:A,B29,'Enero Data'!B:B,F29)</f>
        <v>32062.42</v>
      </c>
      <c r="H29" s="82" t="str">
        <f>VLOOKUP(B29,'Enero Data'!A:D,4,FALSE)</f>
        <v>UESP1416</v>
      </c>
      <c r="I29" s="46" t="s">
        <v>13</v>
      </c>
      <c r="J29" s="83"/>
      <c r="K29" s="35"/>
      <c r="O29" s="37"/>
    </row>
    <row r="30">
      <c r="A30" s="50" t="s">
        <v>12</v>
      </c>
      <c r="B30" s="128" t="s">
        <v>85</v>
      </c>
      <c r="C30" s="129" t="s">
        <v>72</v>
      </c>
      <c r="D30" s="50" t="s">
        <v>69</v>
      </c>
      <c r="E30" s="51" t="s">
        <v>86</v>
      </c>
      <c r="F30" s="50" t="s">
        <v>74</v>
      </c>
      <c r="G30" s="52">
        <f>G29+G28</f>
        <v>2404829.17</v>
      </c>
      <c r="H30" s="53" t="str">
        <f>VLOOKUP(B30,'Enero Data'!A:D,4,FALSE)</f>
        <v>UESP1416</v>
      </c>
      <c r="I30" s="54"/>
      <c r="J30" s="78"/>
      <c r="K30" s="35"/>
      <c r="O30" s="37"/>
    </row>
    <row r="31" hidden="1">
      <c r="A31" s="91" t="s">
        <v>12</v>
      </c>
      <c r="B31" s="27" t="s">
        <v>85</v>
      </c>
      <c r="C31" s="28" t="s">
        <v>59</v>
      </c>
      <c r="D31" s="56" t="s">
        <v>59</v>
      </c>
      <c r="E31" s="88"/>
      <c r="F31" s="41" t="s">
        <v>75</v>
      </c>
      <c r="G31" s="44">
        <f>G30*5%</f>
        <v>120241.4585</v>
      </c>
      <c r="H31" s="45" t="str">
        <f>VLOOKUP(B31,'Enero Data'!A:D,4,FALSE)</f>
        <v>UESP1416</v>
      </c>
      <c r="I31" s="54"/>
      <c r="J31" s="92"/>
      <c r="K31" s="35"/>
      <c r="O31" s="37"/>
    </row>
    <row r="32" hidden="1">
      <c r="A32" s="80" t="s">
        <v>12</v>
      </c>
      <c r="B32" s="70" t="s">
        <v>85</v>
      </c>
      <c r="C32" s="71" t="s">
        <v>59</v>
      </c>
      <c r="D32" s="81" t="s">
        <v>59</v>
      </c>
      <c r="E32" s="88"/>
      <c r="F32" s="71" t="s">
        <v>58</v>
      </c>
      <c r="G32" s="62">
        <f>G31</f>
        <v>120241.4585</v>
      </c>
      <c r="H32" s="82" t="str">
        <f>VLOOKUP(B32,'Enero Data'!A:D,4,FALSE)</f>
        <v>UESP1416</v>
      </c>
      <c r="I32" s="54"/>
      <c r="J32" s="83"/>
      <c r="K32" s="35"/>
      <c r="O32" s="37"/>
    </row>
    <row r="33">
      <c r="A33" s="130" t="s">
        <v>40</v>
      </c>
      <c r="B33" s="27" t="s">
        <v>87</v>
      </c>
      <c r="C33" s="28" t="s">
        <v>58</v>
      </c>
      <c r="D33" s="130" t="s">
        <v>69</v>
      </c>
      <c r="E33" s="131" t="s">
        <v>82</v>
      </c>
      <c r="F33" s="130" t="s">
        <v>71</v>
      </c>
      <c r="G33" s="132">
        <f>SUMIFS('Enero Data'!C:C,'Enero Data'!A:A,B33,'Enero Data'!B:B,F33)</f>
        <v>0</v>
      </c>
      <c r="H33" s="133" t="str">
        <f>VLOOKUP(B33,'Enero Data'!A:D,4,FALSE)</f>
        <v>#N/A</v>
      </c>
      <c r="I33" s="134" t="s">
        <v>41</v>
      </c>
      <c r="J33" s="106">
        <f>J28+1</f>
        <v>410</v>
      </c>
      <c r="K33" s="35"/>
      <c r="O33" s="80"/>
    </row>
    <row r="34">
      <c r="A34" s="71" t="s">
        <v>40</v>
      </c>
      <c r="B34" s="70" t="s">
        <v>87</v>
      </c>
      <c r="C34" s="71" t="s">
        <v>72</v>
      </c>
      <c r="D34" s="72" t="s">
        <v>69</v>
      </c>
      <c r="E34" s="73" t="s">
        <v>82</v>
      </c>
      <c r="F34" s="71" t="s">
        <v>73</v>
      </c>
      <c r="G34" s="62">
        <f>SUMIFS('Enero Data'!C:C,'Enero Data'!A:A,B34,'Enero Data'!B:B,F34)</f>
        <v>0</v>
      </c>
      <c r="H34" s="82" t="str">
        <f>VLOOKUP(B34,'Enero Data'!A:D,4,FALSE)</f>
        <v>#N/A</v>
      </c>
      <c r="I34" s="46" t="s">
        <v>41</v>
      </c>
      <c r="J34" s="83"/>
      <c r="K34" s="35"/>
    </row>
    <row r="35">
      <c r="A35" s="50" t="s">
        <v>40</v>
      </c>
      <c r="B35" s="128" t="s">
        <v>87</v>
      </c>
      <c r="C35" s="129" t="s">
        <v>72</v>
      </c>
      <c r="D35" s="50" t="s">
        <v>69</v>
      </c>
      <c r="E35" s="51" t="s">
        <v>82</v>
      </c>
      <c r="F35" s="50" t="s">
        <v>74</v>
      </c>
      <c r="G35" s="52">
        <f>G34+G33</f>
        <v>0</v>
      </c>
      <c r="H35" s="53" t="str">
        <f>VLOOKUP(B35,'Enero Data'!A:D,4,FALSE)</f>
        <v>#N/A</v>
      </c>
      <c r="I35" s="54"/>
      <c r="J35" s="78"/>
      <c r="K35" s="35"/>
    </row>
    <row r="36" hidden="1">
      <c r="A36" s="94" t="s">
        <v>40</v>
      </c>
      <c r="B36" s="27" t="s">
        <v>87</v>
      </c>
      <c r="C36" s="28" t="s">
        <v>59</v>
      </c>
      <c r="D36" s="56" t="s">
        <v>59</v>
      </c>
      <c r="E36" s="88"/>
      <c r="F36" s="41" t="s">
        <v>75</v>
      </c>
      <c r="G36" s="44">
        <f>G35*5%</f>
        <v>0</v>
      </c>
      <c r="H36" s="45" t="str">
        <f>VLOOKUP(B36,'Enero Data'!A:D,4,FALSE)</f>
        <v>#N/A</v>
      </c>
      <c r="I36" s="54"/>
      <c r="J36" s="92"/>
      <c r="K36" s="35"/>
    </row>
    <row r="37" hidden="1">
      <c r="A37" s="96" t="s">
        <v>40</v>
      </c>
      <c r="B37" s="70" t="s">
        <v>87</v>
      </c>
      <c r="C37" s="71" t="s">
        <v>59</v>
      </c>
      <c r="D37" s="81" t="s">
        <v>59</v>
      </c>
      <c r="E37" s="88"/>
      <c r="F37" s="71" t="s">
        <v>58</v>
      </c>
      <c r="G37" s="62">
        <f>G36</f>
        <v>0</v>
      </c>
      <c r="H37" s="82" t="str">
        <f>VLOOKUP(B37,'Enero Data'!A:D,4,FALSE)</f>
        <v>#N/A</v>
      </c>
      <c r="I37" s="54"/>
      <c r="J37" s="83"/>
      <c r="K37" s="35"/>
    </row>
    <row r="38">
      <c r="A38" s="28" t="s">
        <v>14</v>
      </c>
      <c r="B38" s="27" t="s">
        <v>88</v>
      </c>
      <c r="C38" s="28" t="s">
        <v>58</v>
      </c>
      <c r="D38" s="29" t="s">
        <v>69</v>
      </c>
      <c r="E38" s="30" t="s">
        <v>82</v>
      </c>
      <c r="F38" s="28" t="s">
        <v>71</v>
      </c>
      <c r="G38" s="31">
        <f>SUMIFS('Enero Data'!C:C,'Enero Data'!A:A,B38,'Enero Data'!B:B,F38)</f>
        <v>1516423.89</v>
      </c>
      <c r="H38" s="32" t="str">
        <f>VLOOKUP(B38,'Enero Data'!A:D,4,FALSE)</f>
        <v>UESP1430</v>
      </c>
      <c r="I38" s="33" t="s">
        <v>15</v>
      </c>
      <c r="J38" s="85">
        <f>J33+1</f>
        <v>411</v>
      </c>
      <c r="K38" s="35"/>
    </row>
    <row r="39">
      <c r="A39" s="71" t="s">
        <v>14</v>
      </c>
      <c r="B39" s="70" t="s">
        <v>88</v>
      </c>
      <c r="C39" s="71" t="s">
        <v>72</v>
      </c>
      <c r="D39" s="72" t="s">
        <v>69</v>
      </c>
      <c r="E39" s="73" t="s">
        <v>82</v>
      </c>
      <c r="F39" s="71" t="s">
        <v>73</v>
      </c>
      <c r="G39" s="62">
        <f>SUMIFS('Enero Data'!C:C,'Enero Data'!A:A,B39,'Enero Data'!B:B,F39)</f>
        <v>10686.82</v>
      </c>
      <c r="H39" s="82" t="str">
        <f>VLOOKUP(B39,'Enero Data'!A:D,4,FALSE)</f>
        <v>UESP1430</v>
      </c>
      <c r="I39" s="46" t="s">
        <v>15</v>
      </c>
      <c r="J39" s="83"/>
      <c r="K39" s="35"/>
    </row>
    <row r="40">
      <c r="A40" s="50" t="s">
        <v>14</v>
      </c>
      <c r="B40" s="128" t="s">
        <v>88</v>
      </c>
      <c r="C40" s="129" t="s">
        <v>72</v>
      </c>
      <c r="D40" s="50" t="s">
        <v>69</v>
      </c>
      <c r="E40" s="51" t="s">
        <v>82</v>
      </c>
      <c r="F40" s="50" t="s">
        <v>74</v>
      </c>
      <c r="G40" s="52">
        <f>G39+G38</f>
        <v>1527110.71</v>
      </c>
      <c r="H40" s="53" t="str">
        <f>VLOOKUP(B40,'Enero Data'!A:D,4,FALSE)</f>
        <v>UESP1430</v>
      </c>
      <c r="I40" s="54"/>
      <c r="J40" s="78"/>
      <c r="K40" s="35"/>
    </row>
    <row r="41" hidden="1">
      <c r="A41" s="91" t="s">
        <v>14</v>
      </c>
      <c r="B41" s="27" t="s">
        <v>88</v>
      </c>
      <c r="C41" s="28" t="s">
        <v>59</v>
      </c>
      <c r="D41" s="56" t="s">
        <v>59</v>
      </c>
      <c r="E41" s="88"/>
      <c r="F41" s="41" t="s">
        <v>75</v>
      </c>
      <c r="G41" s="44">
        <f>G40*5%</f>
        <v>76355.5355</v>
      </c>
      <c r="H41" s="45" t="str">
        <f>VLOOKUP(B41,'Enero Data'!A:D,4,FALSE)</f>
        <v>UESP1430</v>
      </c>
      <c r="I41" s="54"/>
      <c r="J41" s="92"/>
      <c r="K41" s="35"/>
    </row>
    <row r="42" hidden="1">
      <c r="A42" s="80" t="s">
        <v>14</v>
      </c>
      <c r="B42" s="70" t="s">
        <v>88</v>
      </c>
      <c r="C42" s="71" t="s">
        <v>59</v>
      </c>
      <c r="D42" s="81" t="s">
        <v>59</v>
      </c>
      <c r="E42" s="88"/>
      <c r="F42" s="71" t="s">
        <v>58</v>
      </c>
      <c r="G42" s="62">
        <f>G41</f>
        <v>76355.5355</v>
      </c>
      <c r="H42" s="82" t="str">
        <f>VLOOKUP(B42,'Enero Data'!A:D,4,FALSE)</f>
        <v>UESP1430</v>
      </c>
      <c r="I42" s="54"/>
      <c r="J42" s="83"/>
      <c r="K42" s="35"/>
    </row>
    <row r="43">
      <c r="A43" s="28" t="s">
        <v>16</v>
      </c>
      <c r="B43" s="27" t="s">
        <v>89</v>
      </c>
      <c r="C43" s="28" t="s">
        <v>58</v>
      </c>
      <c r="D43" s="29" t="s">
        <v>69</v>
      </c>
      <c r="E43" s="30" t="s">
        <v>82</v>
      </c>
      <c r="F43" s="28" t="s">
        <v>71</v>
      </c>
      <c r="G43" s="31">
        <f>SUMIFS('Enero Data'!C:C,'Enero Data'!A:A,B43,'Enero Data'!B:B,F43)</f>
        <v>2095940.27</v>
      </c>
      <c r="H43" s="32" t="str">
        <f>VLOOKUP(B43,'Enero Data'!A:D,4,FALSE)</f>
        <v>UESP1415</v>
      </c>
      <c r="I43" s="33" t="s">
        <v>17</v>
      </c>
      <c r="J43" s="85">
        <f>J38+1</f>
        <v>412</v>
      </c>
      <c r="K43" s="35"/>
    </row>
    <row r="44">
      <c r="A44" s="71" t="s">
        <v>16</v>
      </c>
      <c r="B44" s="70" t="s">
        <v>89</v>
      </c>
      <c r="C44" s="71" t="s">
        <v>58</v>
      </c>
      <c r="D44" s="72" t="s">
        <v>69</v>
      </c>
      <c r="E44" s="73" t="s">
        <v>82</v>
      </c>
      <c r="F44" s="71" t="s">
        <v>73</v>
      </c>
      <c r="G44" s="62">
        <f>SUMIFS('Enero Data'!C:C,'Enero Data'!A:A,B44,'Enero Data'!B:B,F44)</f>
        <v>348261.03</v>
      </c>
      <c r="H44" s="82" t="str">
        <f>VLOOKUP(B44,'Enero Data'!A:D,4,FALSE)</f>
        <v>UESP1415</v>
      </c>
      <c r="I44" s="46" t="s">
        <v>17</v>
      </c>
      <c r="J44" s="83"/>
      <c r="K44" s="35"/>
    </row>
    <row r="45">
      <c r="A45" s="50" t="s">
        <v>16</v>
      </c>
      <c r="B45" s="128" t="s">
        <v>89</v>
      </c>
      <c r="C45" s="129" t="s">
        <v>58</v>
      </c>
      <c r="D45" s="50" t="s">
        <v>69</v>
      </c>
      <c r="E45" s="51" t="s">
        <v>82</v>
      </c>
      <c r="F45" s="50" t="s">
        <v>74</v>
      </c>
      <c r="G45" s="52">
        <f>G44+G43</f>
        <v>2444201.3</v>
      </c>
      <c r="H45" s="53" t="str">
        <f>VLOOKUP(B45,'Enero Data'!A:D,4,FALSE)</f>
        <v>UESP1415</v>
      </c>
      <c r="I45" s="54"/>
      <c r="J45" s="78"/>
      <c r="K45" s="35"/>
    </row>
    <row r="46" hidden="1">
      <c r="A46" s="91" t="s">
        <v>16</v>
      </c>
      <c r="B46" s="27" t="s">
        <v>89</v>
      </c>
      <c r="C46" s="28" t="s">
        <v>59</v>
      </c>
      <c r="D46" s="56" t="s">
        <v>59</v>
      </c>
      <c r="E46" s="88"/>
      <c r="F46" s="41" t="s">
        <v>75</v>
      </c>
      <c r="G46" s="44">
        <f>G45*5%</f>
        <v>122210.065</v>
      </c>
      <c r="H46" s="45" t="str">
        <f>VLOOKUP(B46,'Enero Data'!A:D,4,FALSE)</f>
        <v>UESP1415</v>
      </c>
      <c r="I46" s="54"/>
      <c r="J46" s="92"/>
      <c r="K46" s="35"/>
    </row>
    <row r="47" hidden="1">
      <c r="A47" s="37" t="s">
        <v>16</v>
      </c>
      <c r="B47" s="40" t="s">
        <v>89</v>
      </c>
      <c r="C47" s="41" t="s">
        <v>59</v>
      </c>
      <c r="D47" s="56" t="s">
        <v>59</v>
      </c>
      <c r="E47" s="88"/>
      <c r="F47" s="41" t="s">
        <v>58</v>
      </c>
      <c r="G47" s="62">
        <f>G46</f>
        <v>122210.065</v>
      </c>
      <c r="H47" s="45" t="str">
        <f>VLOOKUP(B47,'Enero Data'!A:D,4,FALSE)</f>
        <v>UESP1415</v>
      </c>
      <c r="I47" s="54"/>
      <c r="J47" s="79"/>
      <c r="K47" s="35"/>
    </row>
    <row r="48">
      <c r="A48" s="28" t="s">
        <v>42</v>
      </c>
      <c r="B48" s="27" t="s">
        <v>90</v>
      </c>
      <c r="C48" s="28" t="s">
        <v>58</v>
      </c>
      <c r="D48" s="29" t="s">
        <v>69</v>
      </c>
      <c r="E48" s="30" t="s">
        <v>82</v>
      </c>
      <c r="F48" s="28" t="s">
        <v>71</v>
      </c>
      <c r="G48" s="31">
        <f>SUMIFS('Enero Data'!C:C,'Enero Data'!A:A,B48,'Enero Data'!B:B,F48)</f>
        <v>2221685.11</v>
      </c>
      <c r="H48" s="63" t="str">
        <f>VLOOKUP(B48,'Enero Data'!A:D,4,FALSE)</f>
        <v>UESP1427</v>
      </c>
      <c r="I48" s="64" t="s">
        <v>43</v>
      </c>
      <c r="J48" s="65">
        <f>J43+1</f>
        <v>413</v>
      </c>
      <c r="K48" s="35"/>
    </row>
    <row r="49">
      <c r="A49" s="41" t="s">
        <v>42</v>
      </c>
      <c r="B49" s="40" t="s">
        <v>90</v>
      </c>
      <c r="C49" s="41" t="s">
        <v>72</v>
      </c>
      <c r="D49" s="42" t="s">
        <v>69</v>
      </c>
      <c r="E49" s="43" t="s">
        <v>82</v>
      </c>
      <c r="F49" s="41" t="s">
        <v>73</v>
      </c>
      <c r="G49" s="44">
        <f>SUMIFS('Enero Data'!C:C,'Enero Data'!A:A,B49,'Enero Data'!B:B,F49)</f>
        <v>15923.39</v>
      </c>
      <c r="H49" s="66" t="str">
        <f>VLOOKUP(B49,'Enero Data'!A:D,4,FALSE)</f>
        <v>UESP1427</v>
      </c>
      <c r="I49" s="67" t="s">
        <v>43</v>
      </c>
      <c r="J49" s="68"/>
      <c r="K49" s="35"/>
    </row>
    <row r="50">
      <c r="A50" s="71" t="s">
        <v>42</v>
      </c>
      <c r="B50" s="70" t="s">
        <v>90</v>
      </c>
      <c r="C50" s="71" t="s">
        <v>72</v>
      </c>
      <c r="D50" s="72" t="s">
        <v>69</v>
      </c>
      <c r="E50" s="73"/>
      <c r="F50" s="71" t="s">
        <v>80</v>
      </c>
      <c r="G50" s="62">
        <f>(G48+G49)*4%</f>
        <v>89504.34</v>
      </c>
      <c r="H50" s="66" t="str">
        <f>VLOOKUP(B50,'Enero Data'!A:D,4,FALSE)</f>
        <v>UESP1427</v>
      </c>
      <c r="I50" s="71"/>
      <c r="J50" s="76"/>
      <c r="K50" s="35"/>
    </row>
    <row r="51">
      <c r="A51" s="50" t="s">
        <v>42</v>
      </c>
      <c r="B51" s="128" t="s">
        <v>90</v>
      </c>
      <c r="C51" s="129" t="s">
        <v>72</v>
      </c>
      <c r="D51" s="50" t="s">
        <v>69</v>
      </c>
      <c r="E51" s="51" t="s">
        <v>82</v>
      </c>
      <c r="F51" s="50" t="s">
        <v>74</v>
      </c>
      <c r="G51" s="52">
        <f>G48+G49-G50</f>
        <v>2148104.16</v>
      </c>
      <c r="H51" s="53" t="str">
        <f>VLOOKUP(B51,'Enero Data'!A:D,4,FALSE)</f>
        <v>UESP1427</v>
      </c>
      <c r="I51" s="54"/>
      <c r="J51" s="78"/>
      <c r="K51" s="35"/>
    </row>
    <row r="52" hidden="1">
      <c r="A52" s="91" t="s">
        <v>42</v>
      </c>
      <c r="B52" s="27" t="s">
        <v>90</v>
      </c>
      <c r="C52" s="28" t="s">
        <v>59</v>
      </c>
      <c r="D52" s="56" t="s">
        <v>59</v>
      </c>
      <c r="E52" s="88"/>
      <c r="F52" s="41" t="s">
        <v>75</v>
      </c>
      <c r="G52" s="44">
        <f>G51*5%</f>
        <v>107405.208</v>
      </c>
      <c r="H52" s="45" t="str">
        <f>VLOOKUP(B52,'Enero Data'!A:D,4,FALSE)</f>
        <v>UESP1427</v>
      </c>
      <c r="I52" s="54"/>
      <c r="J52" s="92"/>
      <c r="K52" s="35"/>
    </row>
    <row r="53" hidden="1">
      <c r="A53" s="37" t="s">
        <v>42</v>
      </c>
      <c r="B53" s="40" t="s">
        <v>90</v>
      </c>
      <c r="C53" s="41" t="s">
        <v>59</v>
      </c>
      <c r="D53" s="56" t="s">
        <v>59</v>
      </c>
      <c r="E53" s="88"/>
      <c r="F53" s="41" t="s">
        <v>58</v>
      </c>
      <c r="G53" s="62">
        <f>G52</f>
        <v>107405.208</v>
      </c>
      <c r="H53" s="45" t="str">
        <f>VLOOKUP(B53,'Enero Data'!A:D,4,FALSE)</f>
        <v>UESP1427</v>
      </c>
      <c r="I53" s="54"/>
      <c r="J53" s="79"/>
      <c r="K53" s="35"/>
    </row>
    <row r="54">
      <c r="A54" s="28" t="s">
        <v>18</v>
      </c>
      <c r="B54" s="27" t="s">
        <v>91</v>
      </c>
      <c r="C54" s="28" t="s">
        <v>58</v>
      </c>
      <c r="D54" s="29" t="s">
        <v>69</v>
      </c>
      <c r="E54" s="30" t="s">
        <v>92</v>
      </c>
      <c r="F54" s="28" t="s">
        <v>71</v>
      </c>
      <c r="G54" s="31">
        <f>SUMIFS('Enero Data'!C:C,'Enero Data'!A:A,B54,'Enero Data'!B:B,F54)</f>
        <v>1301979.65</v>
      </c>
      <c r="H54" s="63" t="str">
        <f>VLOOKUP(B54,'Enero Data'!A:D,4,FALSE)</f>
        <v>UESP1419</v>
      </c>
      <c r="I54" s="64" t="s">
        <v>19</v>
      </c>
      <c r="J54" s="65">
        <f>J48+1</f>
        <v>414</v>
      </c>
      <c r="K54" s="35"/>
    </row>
    <row r="55">
      <c r="A55" s="41" t="s">
        <v>18</v>
      </c>
      <c r="B55" s="40" t="s">
        <v>91</v>
      </c>
      <c r="C55" s="41" t="s">
        <v>72</v>
      </c>
      <c r="D55" s="42" t="s">
        <v>69</v>
      </c>
      <c r="E55" s="43" t="s">
        <v>92</v>
      </c>
      <c r="F55" s="41" t="s">
        <v>73</v>
      </c>
      <c r="G55" s="44">
        <f>SUMIFS('Enero Data'!C:C,'Enero Data'!A:A,B55,'Enero Data'!B:B,F55)</f>
        <v>24394.91</v>
      </c>
      <c r="H55" s="66" t="str">
        <f>VLOOKUP(B55,'Enero Data'!A:D,4,FALSE)</f>
        <v>UESP1419</v>
      </c>
      <c r="I55" s="67" t="s">
        <v>19</v>
      </c>
      <c r="J55" s="68"/>
      <c r="K55" s="35"/>
    </row>
    <row r="56">
      <c r="A56" s="71" t="s">
        <v>18</v>
      </c>
      <c r="B56" s="70" t="s">
        <v>91</v>
      </c>
      <c r="C56" s="71" t="s">
        <v>72</v>
      </c>
      <c r="D56" s="72" t="s">
        <v>69</v>
      </c>
      <c r="E56" s="73" t="s">
        <v>92</v>
      </c>
      <c r="F56" s="71" t="s">
        <v>80</v>
      </c>
      <c r="G56" s="62">
        <f>(G54+G55)*2.5%</f>
        <v>33159.364</v>
      </c>
      <c r="H56" s="66" t="str">
        <f>VLOOKUP(B56,'Enero Data'!A:D,4,FALSE)</f>
        <v>UESP1419</v>
      </c>
      <c r="I56" s="71"/>
      <c r="J56" s="76"/>
      <c r="K56" s="35"/>
    </row>
    <row r="57">
      <c r="A57" s="50" t="s">
        <v>18</v>
      </c>
      <c r="B57" s="128" t="s">
        <v>91</v>
      </c>
      <c r="C57" s="129" t="s">
        <v>72</v>
      </c>
      <c r="D57" s="50" t="s">
        <v>69</v>
      </c>
      <c r="E57" s="51" t="s">
        <v>92</v>
      </c>
      <c r="F57" s="50" t="s">
        <v>74</v>
      </c>
      <c r="G57" s="52">
        <f>G54+G55-G56</f>
        <v>1293215.196</v>
      </c>
      <c r="H57" s="53"/>
      <c r="I57" s="54"/>
      <c r="J57" s="78"/>
      <c r="K57" s="35"/>
    </row>
    <row r="58" hidden="1">
      <c r="A58" s="91" t="s">
        <v>18</v>
      </c>
      <c r="B58" s="27" t="s">
        <v>91</v>
      </c>
      <c r="C58" s="28" t="s">
        <v>59</v>
      </c>
      <c r="D58" s="56" t="s">
        <v>59</v>
      </c>
      <c r="E58" s="88"/>
      <c r="F58" s="41" t="s">
        <v>75</v>
      </c>
      <c r="G58" s="44">
        <f>G57*5%</f>
        <v>64660.7598</v>
      </c>
      <c r="H58" s="45" t="str">
        <f>VLOOKUP(B58,'Enero Data'!A:D,4,FALSE)</f>
        <v>UESP1419</v>
      </c>
      <c r="I58" s="54"/>
      <c r="J58" s="92"/>
      <c r="K58" s="35"/>
    </row>
    <row r="59" hidden="1">
      <c r="A59" s="37" t="s">
        <v>18</v>
      </c>
      <c r="B59" s="40" t="s">
        <v>91</v>
      </c>
      <c r="C59" s="41" t="s">
        <v>59</v>
      </c>
      <c r="D59" s="56" t="s">
        <v>59</v>
      </c>
      <c r="E59" s="88"/>
      <c r="F59" s="41" t="s">
        <v>58</v>
      </c>
      <c r="G59" s="62">
        <f>G58</f>
        <v>64660.7598</v>
      </c>
      <c r="H59" s="45" t="str">
        <f>VLOOKUP(B59,'Enero Data'!A:D,4,FALSE)</f>
        <v>UESP1419</v>
      </c>
      <c r="I59" s="54"/>
      <c r="J59" s="79"/>
      <c r="K59" s="35"/>
    </row>
    <row r="60" ht="15.0" customHeight="1">
      <c r="A60" s="28" t="s">
        <v>20</v>
      </c>
      <c r="B60" s="27" t="s">
        <v>138</v>
      </c>
      <c r="C60" s="28" t="s">
        <v>58</v>
      </c>
      <c r="D60" s="29" t="s">
        <v>69</v>
      </c>
      <c r="E60" s="30" t="s">
        <v>82</v>
      </c>
      <c r="F60" s="28" t="s">
        <v>71</v>
      </c>
      <c r="G60" s="31">
        <f>SUMIFS('Enero Data'!C:C,'Enero Data'!A:A,B60,'Enero Data'!B:B,F60)</f>
        <v>1484963.46</v>
      </c>
      <c r="H60" s="63" t="str">
        <f>VLOOKUP(B60,'Enero Data'!A:D,4,FALSE)</f>
        <v>UESP1421</v>
      </c>
      <c r="I60" s="64" t="s">
        <v>21</v>
      </c>
      <c r="J60" s="65">
        <f>J54+1</f>
        <v>415</v>
      </c>
      <c r="K60" s="35"/>
    </row>
    <row r="61" ht="14.25" customHeight="1">
      <c r="A61" s="41" t="s">
        <v>20</v>
      </c>
      <c r="B61" s="40" t="s">
        <v>138</v>
      </c>
      <c r="C61" s="41" t="s">
        <v>72</v>
      </c>
      <c r="D61" s="42" t="s">
        <v>69</v>
      </c>
      <c r="E61" s="43" t="s">
        <v>82</v>
      </c>
      <c r="F61" s="41" t="s">
        <v>73</v>
      </c>
      <c r="G61" s="44">
        <f>SUMIFS('Enero Data'!C:C,'Enero Data'!A:A,B61,'Enero Data'!B:B,F61)</f>
        <v>1988.36</v>
      </c>
      <c r="H61" s="66" t="str">
        <f>VLOOKUP(B61,'Enero Data'!A:D,4,FALSE)</f>
        <v>UESP1421</v>
      </c>
      <c r="I61" s="67" t="s">
        <v>21</v>
      </c>
      <c r="J61" s="68"/>
      <c r="K61" s="35"/>
    </row>
    <row r="62" ht="14.25" customHeight="1">
      <c r="A62" s="71" t="s">
        <v>20</v>
      </c>
      <c r="B62" s="70" t="s">
        <v>138</v>
      </c>
      <c r="C62" s="71" t="s">
        <v>72</v>
      </c>
      <c r="D62" s="72" t="s">
        <v>69</v>
      </c>
      <c r="E62" s="73"/>
      <c r="F62" s="71" t="s">
        <v>80</v>
      </c>
      <c r="G62" s="62">
        <f>(G60+G61)*2.5%</f>
        <v>37173.7955</v>
      </c>
      <c r="H62" s="66" t="str">
        <f>VLOOKUP(B62,'Enero Data'!A:D,4,FALSE)</f>
        <v>UESP1421</v>
      </c>
      <c r="I62" s="71"/>
      <c r="J62" s="76"/>
      <c r="K62" s="35"/>
    </row>
    <row r="63" ht="13.5" customHeight="1">
      <c r="A63" s="50" t="s">
        <v>20</v>
      </c>
      <c r="B63" s="128" t="s">
        <v>138</v>
      </c>
      <c r="C63" s="129" t="s">
        <v>72</v>
      </c>
      <c r="D63" s="50" t="s">
        <v>69</v>
      </c>
      <c r="E63" s="51" t="s">
        <v>82</v>
      </c>
      <c r="F63" s="50" t="s">
        <v>74</v>
      </c>
      <c r="G63" s="52">
        <f>G60+G61-G62</f>
        <v>1449778.025</v>
      </c>
      <c r="H63" s="97" t="str">
        <f>VLOOKUP(B63,'Enero Data'!A:D,4,FALSE)</f>
        <v>UESP1421</v>
      </c>
      <c r="I63" s="98"/>
      <c r="J63" s="78"/>
      <c r="K63" s="35"/>
    </row>
    <row r="64" ht="15.0" hidden="1" customHeight="1">
      <c r="A64" s="91" t="s">
        <v>20</v>
      </c>
      <c r="B64" s="27" t="s">
        <v>138</v>
      </c>
      <c r="C64" s="28" t="s">
        <v>59</v>
      </c>
      <c r="D64" s="56" t="s">
        <v>59</v>
      </c>
      <c r="E64" s="88"/>
      <c r="F64" s="41" t="s">
        <v>75</v>
      </c>
      <c r="G64" s="44">
        <f>G63*5%</f>
        <v>72488.90123</v>
      </c>
      <c r="H64" s="45" t="str">
        <f>VLOOKUP(B64,'Enero Data'!A:D,4,FALSE)</f>
        <v>UESP1421</v>
      </c>
      <c r="I64" s="98"/>
      <c r="J64" s="92"/>
      <c r="K64" s="35"/>
    </row>
    <row r="65" ht="18.0" hidden="1" customHeight="1">
      <c r="A65" s="80" t="s">
        <v>20</v>
      </c>
      <c r="B65" s="70" t="s">
        <v>138</v>
      </c>
      <c r="C65" s="71" t="s">
        <v>59</v>
      </c>
      <c r="D65" s="81" t="s">
        <v>59</v>
      </c>
      <c r="E65" s="88"/>
      <c r="F65" s="71" t="s">
        <v>58</v>
      </c>
      <c r="G65" s="62">
        <f>G64</f>
        <v>72488.90123</v>
      </c>
      <c r="H65" s="82" t="str">
        <f>VLOOKUP(B65,'Enero Data'!A:D,4,FALSE)</f>
        <v>UESP1421</v>
      </c>
      <c r="I65" s="98"/>
      <c r="J65" s="83"/>
      <c r="K65" s="35"/>
    </row>
    <row r="66">
      <c r="A66" s="28" t="s">
        <v>22</v>
      </c>
      <c r="B66" s="27" t="s">
        <v>94</v>
      </c>
      <c r="C66" s="28" t="s">
        <v>58</v>
      </c>
      <c r="D66" s="29" t="s">
        <v>69</v>
      </c>
      <c r="E66" s="30" t="s">
        <v>92</v>
      </c>
      <c r="F66" s="28" t="s">
        <v>71</v>
      </c>
      <c r="G66" s="31">
        <f>SUMIFS('Enero Data'!C:C,'Enero Data'!A:A,B66,'Enero Data'!B:B,F66)</f>
        <v>2473635.1</v>
      </c>
      <c r="H66" s="32" t="str">
        <f>VLOOKUP(B66,'Enero Data'!A:D,4,FALSE)</f>
        <v>UESP1423</v>
      </c>
      <c r="I66" s="33" t="s">
        <v>23</v>
      </c>
      <c r="J66" s="85">
        <f>J60+1</f>
        <v>416</v>
      </c>
      <c r="K66" s="35"/>
    </row>
    <row r="67">
      <c r="A67" s="71" t="s">
        <v>22</v>
      </c>
      <c r="B67" s="70" t="s">
        <v>94</v>
      </c>
      <c r="C67" s="71" t="s">
        <v>72</v>
      </c>
      <c r="D67" s="72" t="s">
        <v>69</v>
      </c>
      <c r="E67" s="73" t="s">
        <v>92</v>
      </c>
      <c r="F67" s="71" t="s">
        <v>73</v>
      </c>
      <c r="G67" s="62">
        <f>SUMIFS('Enero Data'!C:C,'Enero Data'!A:A,B67,'Enero Data'!B:B,F67)</f>
        <v>18404.39</v>
      </c>
      <c r="H67" s="82" t="str">
        <f>VLOOKUP(B67,'Enero Data'!A:D,4,FALSE)</f>
        <v>UESP1423</v>
      </c>
      <c r="I67" s="46" t="s">
        <v>23</v>
      </c>
      <c r="J67" s="83"/>
      <c r="K67" s="35"/>
    </row>
    <row r="68">
      <c r="A68" s="50" t="s">
        <v>22</v>
      </c>
      <c r="B68" s="128" t="s">
        <v>94</v>
      </c>
      <c r="C68" s="129" t="s">
        <v>72</v>
      </c>
      <c r="D68" s="50" t="s">
        <v>69</v>
      </c>
      <c r="E68" s="51" t="s">
        <v>92</v>
      </c>
      <c r="F68" s="50" t="s">
        <v>74</v>
      </c>
      <c r="G68" s="52">
        <f>G67+G66</f>
        <v>2492039.49</v>
      </c>
      <c r="H68" s="97" t="str">
        <f>VLOOKUP(B68,'Enero Data'!A:D,4,FALSE)</f>
        <v>UESP1423</v>
      </c>
      <c r="I68" s="98"/>
      <c r="J68" s="78"/>
      <c r="K68" s="35"/>
    </row>
    <row r="69" hidden="1">
      <c r="A69" s="91" t="s">
        <v>22</v>
      </c>
      <c r="B69" s="27" t="s">
        <v>94</v>
      </c>
      <c r="C69" s="28" t="s">
        <v>59</v>
      </c>
      <c r="D69" s="56" t="s">
        <v>59</v>
      </c>
      <c r="E69" s="88"/>
      <c r="F69" s="41" t="s">
        <v>75</v>
      </c>
      <c r="G69" s="44">
        <f>G68*5%</f>
        <v>124601.9745</v>
      </c>
      <c r="H69" s="45" t="str">
        <f>VLOOKUP(B69,'Enero Data'!A:D,4,FALSE)</f>
        <v>UESP1423</v>
      </c>
      <c r="I69" s="98"/>
      <c r="J69" s="92"/>
      <c r="K69" s="35"/>
    </row>
    <row r="70" hidden="1">
      <c r="A70" s="80" t="s">
        <v>22</v>
      </c>
      <c r="B70" s="70" t="s">
        <v>94</v>
      </c>
      <c r="C70" s="71" t="s">
        <v>59</v>
      </c>
      <c r="D70" s="81" t="s">
        <v>59</v>
      </c>
      <c r="E70" s="88"/>
      <c r="F70" s="71" t="s">
        <v>58</v>
      </c>
      <c r="G70" s="62">
        <f>G69</f>
        <v>124601.9745</v>
      </c>
      <c r="H70" s="82" t="str">
        <f>VLOOKUP(B70,'Enero Data'!A:D,4,FALSE)</f>
        <v>UESP1423</v>
      </c>
      <c r="I70" s="98"/>
      <c r="J70" s="83"/>
      <c r="K70" s="35"/>
    </row>
    <row r="71">
      <c r="A71" s="28" t="s">
        <v>24</v>
      </c>
      <c r="B71" s="27" t="s">
        <v>95</v>
      </c>
      <c r="C71" s="28" t="s">
        <v>58</v>
      </c>
      <c r="D71" s="135" t="s">
        <v>69</v>
      </c>
      <c r="E71" s="136" t="s">
        <v>96</v>
      </c>
      <c r="F71" s="28" t="s">
        <v>71</v>
      </c>
      <c r="G71" s="31">
        <f>SUMIFS('Enero Data'!C:C,'Enero Data'!A:A,B71,'Enero Data'!B:B,F71)</f>
        <v>2361908.21</v>
      </c>
      <c r="H71" s="137" t="str">
        <f>VLOOKUP(B71,'Enero Data'!A:D,4,FALSE)</f>
        <v>UESP1425</v>
      </c>
      <c r="I71" s="138" t="s">
        <v>25</v>
      </c>
      <c r="J71" s="139">
        <f>J66+1</f>
        <v>417</v>
      </c>
      <c r="K71" s="140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>
      <c r="A72" s="71" t="s">
        <v>24</v>
      </c>
      <c r="B72" s="70" t="s">
        <v>95</v>
      </c>
      <c r="C72" s="71" t="s">
        <v>72</v>
      </c>
      <c r="D72" s="81" t="s">
        <v>69</v>
      </c>
      <c r="E72" s="142" t="s">
        <v>96</v>
      </c>
      <c r="F72" s="71" t="s">
        <v>73</v>
      </c>
      <c r="G72" s="62">
        <f>SUMIFS('Enero Data'!C:C,'Enero Data'!A:A,B72,'Enero Data'!B:B,F72)</f>
        <v>0</v>
      </c>
      <c r="H72" s="143" t="str">
        <f>VLOOKUP(B72,'Enero Data'!A:D,4,FALSE)</f>
        <v>UESP1425</v>
      </c>
      <c r="I72" s="144" t="s">
        <v>25</v>
      </c>
      <c r="J72" s="145"/>
      <c r="K72" s="140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>
      <c r="A73" s="50" t="s">
        <v>24</v>
      </c>
      <c r="B73" s="128" t="s">
        <v>95</v>
      </c>
      <c r="C73" s="129" t="s">
        <v>72</v>
      </c>
      <c r="D73" s="50" t="s">
        <v>69</v>
      </c>
      <c r="E73" s="51" t="s">
        <v>96</v>
      </c>
      <c r="F73" s="50" t="s">
        <v>74</v>
      </c>
      <c r="G73" s="52">
        <f>G72+G71</f>
        <v>2361908.21</v>
      </c>
      <c r="H73" s="97" t="str">
        <f>VLOOKUP(B73,'Enero Data'!A:D,4,FALSE)</f>
        <v>UESP1425</v>
      </c>
      <c r="I73" s="98"/>
      <c r="J73" s="78"/>
      <c r="K73" s="35"/>
    </row>
    <row r="74" hidden="1">
      <c r="A74" s="91" t="s">
        <v>24</v>
      </c>
      <c r="B74" s="27" t="s">
        <v>95</v>
      </c>
      <c r="C74" s="28" t="s">
        <v>59</v>
      </c>
      <c r="D74" s="56" t="s">
        <v>59</v>
      </c>
      <c r="E74" s="88"/>
      <c r="F74" s="41" t="s">
        <v>75</v>
      </c>
      <c r="G74" s="44">
        <f>G73*5%</f>
        <v>118095.4105</v>
      </c>
      <c r="H74" s="45" t="str">
        <f>VLOOKUP(B74,'Enero Data'!A:D,4,FALSE)</f>
        <v>UESP1425</v>
      </c>
      <c r="I74" s="98"/>
      <c r="J74" s="92"/>
      <c r="K74" s="35"/>
    </row>
    <row r="75" hidden="1">
      <c r="A75" s="37" t="s">
        <v>24</v>
      </c>
      <c r="B75" s="40" t="s">
        <v>95</v>
      </c>
      <c r="C75" s="41" t="s">
        <v>59</v>
      </c>
      <c r="D75" s="56" t="s">
        <v>59</v>
      </c>
      <c r="E75" s="88"/>
      <c r="F75" s="41" t="s">
        <v>58</v>
      </c>
      <c r="G75" s="62">
        <f>G74</f>
        <v>118095.4105</v>
      </c>
      <c r="H75" s="45" t="str">
        <f>VLOOKUP(B75,'Enero Data'!A:D,4,FALSE)</f>
        <v>UESP1425</v>
      </c>
      <c r="I75" s="98"/>
      <c r="J75" s="79"/>
      <c r="K75" s="35"/>
    </row>
    <row r="76">
      <c r="A76" s="28" t="s">
        <v>26</v>
      </c>
      <c r="B76" s="27" t="s">
        <v>97</v>
      </c>
      <c r="C76" s="28" t="s">
        <v>58</v>
      </c>
      <c r="D76" s="29" t="s">
        <v>69</v>
      </c>
      <c r="E76" s="30" t="s">
        <v>82</v>
      </c>
      <c r="F76" s="28" t="s">
        <v>71</v>
      </c>
      <c r="G76" s="31">
        <f>SUMIFS('Enero Data'!C:C,'Enero Data'!A:A,B76,'Enero Data'!B:B,F76)</f>
        <v>0</v>
      </c>
      <c r="H76" s="63" t="str">
        <f>VLOOKUP(B76,'Enero Data'!A:D,4,FALSE)</f>
        <v>#N/A</v>
      </c>
      <c r="I76" s="64" t="s">
        <v>27</v>
      </c>
      <c r="J76" s="99">
        <f>J71+1</f>
        <v>418</v>
      </c>
      <c r="K76" s="35"/>
    </row>
    <row r="77">
      <c r="A77" s="41" t="s">
        <v>26</v>
      </c>
      <c r="B77" s="40" t="s">
        <v>97</v>
      </c>
      <c r="C77" s="41" t="s">
        <v>72</v>
      </c>
      <c r="D77" s="42" t="s">
        <v>69</v>
      </c>
      <c r="E77" s="43" t="s">
        <v>82</v>
      </c>
      <c r="F77" s="41" t="s">
        <v>73</v>
      </c>
      <c r="G77" s="44">
        <f>SUMIFS('Enero Data'!C:C,'Enero Data'!A:A,B77,'Enero Data'!B:B,F77)</f>
        <v>0</v>
      </c>
      <c r="H77" s="66" t="str">
        <f>VLOOKUP(B77,'Enero Data'!A:D,4,FALSE)</f>
        <v>#N/A</v>
      </c>
      <c r="I77" s="67" t="s">
        <v>27</v>
      </c>
      <c r="J77" s="68"/>
      <c r="K77" s="35"/>
    </row>
    <row r="78">
      <c r="A78" s="71" t="s">
        <v>26</v>
      </c>
      <c r="B78" s="70" t="s">
        <v>97</v>
      </c>
      <c r="C78" s="71" t="s">
        <v>72</v>
      </c>
      <c r="D78" s="72" t="s">
        <v>69</v>
      </c>
      <c r="E78" s="73"/>
      <c r="F78" s="71" t="s">
        <v>80</v>
      </c>
      <c r="G78" s="62">
        <f>(G76+G77)*2.5%</f>
        <v>0</v>
      </c>
      <c r="H78" s="66" t="str">
        <f>VLOOKUP(B78,'Enero Data'!A:D,4,FALSE)</f>
        <v>#N/A</v>
      </c>
      <c r="I78" s="71"/>
      <c r="J78" s="76"/>
      <c r="K78" s="35"/>
    </row>
    <row r="79">
      <c r="A79" s="50" t="s">
        <v>26</v>
      </c>
      <c r="B79" s="128" t="s">
        <v>97</v>
      </c>
      <c r="C79" s="129" t="s">
        <v>72</v>
      </c>
      <c r="D79" s="50" t="s">
        <v>69</v>
      </c>
      <c r="E79" s="51" t="s">
        <v>82</v>
      </c>
      <c r="F79" s="50" t="s">
        <v>74</v>
      </c>
      <c r="G79" s="52">
        <f>G76+G77-G78</f>
        <v>0</v>
      </c>
      <c r="H79" s="97" t="str">
        <f>VLOOKUP(B79,'Enero Data'!A:D,4,FALSE)</f>
        <v>#N/A</v>
      </c>
      <c r="I79" s="98"/>
      <c r="J79" s="78"/>
      <c r="K79" s="35"/>
    </row>
    <row r="80" hidden="1">
      <c r="A80" s="102" t="s">
        <v>26</v>
      </c>
      <c r="B80" s="27" t="s">
        <v>97</v>
      </c>
      <c r="C80" s="28" t="s">
        <v>59</v>
      </c>
      <c r="D80" s="56" t="s">
        <v>59</v>
      </c>
      <c r="E80" s="88"/>
      <c r="F80" s="41" t="s">
        <v>75</v>
      </c>
      <c r="G80" s="44">
        <f>G79*5%</f>
        <v>0</v>
      </c>
      <c r="H80" s="45" t="str">
        <f>VLOOKUP(B80,'Enero Data'!A:D,4,FALSE)</f>
        <v>#N/A</v>
      </c>
      <c r="I80" s="98"/>
      <c r="J80" s="92"/>
      <c r="K80" s="35"/>
    </row>
    <row r="81" hidden="1">
      <c r="A81" s="103" t="s">
        <v>26</v>
      </c>
      <c r="B81" s="40" t="s">
        <v>97</v>
      </c>
      <c r="C81" s="41" t="s">
        <v>59</v>
      </c>
      <c r="D81" s="56" t="s">
        <v>59</v>
      </c>
      <c r="E81" s="88"/>
      <c r="F81" s="41" t="s">
        <v>58</v>
      </c>
      <c r="G81" s="62">
        <f>G80</f>
        <v>0</v>
      </c>
      <c r="H81" s="45" t="str">
        <f>VLOOKUP(B81,'Enero Data'!A:D,4,FALSE)</f>
        <v>#N/A</v>
      </c>
      <c r="I81" s="98"/>
      <c r="J81" s="79"/>
      <c r="K81" s="35"/>
    </row>
    <row r="82">
      <c r="A82" s="28" t="s">
        <v>28</v>
      </c>
      <c r="B82" s="27" t="s">
        <v>98</v>
      </c>
      <c r="C82" s="28" t="s">
        <v>58</v>
      </c>
      <c r="D82" s="29" t="s">
        <v>69</v>
      </c>
      <c r="E82" s="30" t="s">
        <v>99</v>
      </c>
      <c r="F82" s="28" t="s">
        <v>71</v>
      </c>
      <c r="G82" s="31">
        <f>SUMIFS('Enero Data'!C:C,'Enero Data'!A:A,B82,'Enero Data'!B:B,F82)</f>
        <v>2034790.15</v>
      </c>
      <c r="H82" s="63" t="str">
        <f>VLOOKUP(B82,'Enero Data'!A:D,4,FALSE)</f>
        <v>UESP1432</v>
      </c>
      <c r="I82" s="64" t="s">
        <v>29</v>
      </c>
      <c r="J82" s="65">
        <f>J71+1</f>
        <v>418</v>
      </c>
      <c r="K82" s="35"/>
    </row>
    <row r="83">
      <c r="A83" s="41" t="s">
        <v>28</v>
      </c>
      <c r="B83" s="40" t="s">
        <v>98</v>
      </c>
      <c r="C83" s="41" t="s">
        <v>72</v>
      </c>
      <c r="D83" s="42" t="s">
        <v>69</v>
      </c>
      <c r="E83" s="43" t="s">
        <v>99</v>
      </c>
      <c r="F83" s="41" t="s">
        <v>73</v>
      </c>
      <c r="G83" s="44">
        <f>SUMIFS('Enero Data'!C:C,'Enero Data'!A:A,B83,'Enero Data'!B:B,F83)</f>
        <v>625.52</v>
      </c>
      <c r="H83" s="66" t="str">
        <f>VLOOKUP(B83,'Enero Data'!A:D,4,FALSE)</f>
        <v>UESP1432</v>
      </c>
      <c r="I83" s="67" t="s">
        <v>29</v>
      </c>
      <c r="J83" s="68"/>
      <c r="K83" s="35"/>
    </row>
    <row r="84">
      <c r="A84" s="41" t="s">
        <v>28</v>
      </c>
      <c r="B84" s="40" t="s">
        <v>98</v>
      </c>
      <c r="C84" s="41" t="s">
        <v>72</v>
      </c>
      <c r="D84" s="42" t="s">
        <v>69</v>
      </c>
      <c r="F84" s="41" t="s">
        <v>80</v>
      </c>
      <c r="G84" s="44">
        <f>(G82+G83)*4%</f>
        <v>81416.6268</v>
      </c>
      <c r="H84" s="66" t="str">
        <f>VLOOKUP(B84,'Enero Data'!A:D,4,FALSE)</f>
        <v>UESP1432</v>
      </c>
      <c r="I84" s="41"/>
      <c r="J84" s="68"/>
      <c r="K84" s="35"/>
    </row>
    <row r="85">
      <c r="A85" s="71" t="s">
        <v>28</v>
      </c>
      <c r="B85" s="70" t="s">
        <v>98</v>
      </c>
      <c r="C85" s="71" t="s">
        <v>72</v>
      </c>
      <c r="D85" s="72" t="s">
        <v>69</v>
      </c>
      <c r="E85" s="73"/>
      <c r="F85" s="71" t="s">
        <v>100</v>
      </c>
      <c r="G85" s="62">
        <f>(G82+G83)*0.4%</f>
        <v>8141.66268</v>
      </c>
      <c r="H85" s="66" t="str">
        <f>VLOOKUP(B85,'Enero Data'!A:D,4,FALSE)</f>
        <v>UESP1432</v>
      </c>
      <c r="I85" s="71"/>
      <c r="J85" s="76"/>
      <c r="K85" s="35"/>
    </row>
    <row r="86">
      <c r="A86" s="50" t="s">
        <v>28</v>
      </c>
      <c r="B86" s="128" t="s">
        <v>98</v>
      </c>
      <c r="C86" s="129" t="s">
        <v>72</v>
      </c>
      <c r="D86" s="50" t="s">
        <v>69</v>
      </c>
      <c r="E86" s="51" t="s">
        <v>99</v>
      </c>
      <c r="F86" s="50" t="s">
        <v>74</v>
      </c>
      <c r="G86" s="52">
        <f>G82+G83-G84-G85</f>
        <v>1945857.381</v>
      </c>
      <c r="H86" s="97" t="str">
        <f>VLOOKUP(B86,'Enero Data'!A:D,4,FALSE)</f>
        <v>UESP1432</v>
      </c>
      <c r="I86" s="98"/>
      <c r="J86" s="78"/>
      <c r="K86" s="35"/>
    </row>
    <row r="87" hidden="1">
      <c r="A87" s="91" t="s">
        <v>28</v>
      </c>
      <c r="B87" s="27" t="s">
        <v>98</v>
      </c>
      <c r="C87" s="28" t="s">
        <v>59</v>
      </c>
      <c r="D87" s="56" t="s">
        <v>59</v>
      </c>
      <c r="E87" s="88"/>
      <c r="F87" s="41" t="s">
        <v>75</v>
      </c>
      <c r="G87" s="44">
        <f>G86*5%</f>
        <v>97292.86903</v>
      </c>
      <c r="H87" s="45" t="str">
        <f>VLOOKUP(B87,'Enero Data'!A:D,4,FALSE)</f>
        <v>UESP1432</v>
      </c>
      <c r="I87" s="98"/>
      <c r="J87" s="92"/>
      <c r="K87" s="35"/>
    </row>
    <row r="88" hidden="1">
      <c r="A88" s="80" t="s">
        <v>28</v>
      </c>
      <c r="B88" s="70" t="s">
        <v>98</v>
      </c>
      <c r="C88" s="71" t="s">
        <v>59</v>
      </c>
      <c r="D88" s="81" t="s">
        <v>59</v>
      </c>
      <c r="E88" s="88"/>
      <c r="F88" s="71" t="s">
        <v>58</v>
      </c>
      <c r="G88" s="62">
        <f>G87</f>
        <v>97292.86903</v>
      </c>
      <c r="H88" s="82" t="str">
        <f>VLOOKUP(B88,'Enero Data'!A:D,4,FALSE)</f>
        <v>UESP1432</v>
      </c>
      <c r="I88" s="98"/>
      <c r="J88" s="83"/>
      <c r="K88" s="35"/>
    </row>
    <row r="89">
      <c r="A89" s="28" t="s">
        <v>30</v>
      </c>
      <c r="B89" s="27" t="s">
        <v>101</v>
      </c>
      <c r="C89" s="28" t="s">
        <v>58</v>
      </c>
      <c r="D89" s="29" t="s">
        <v>69</v>
      </c>
      <c r="E89" s="30" t="s">
        <v>102</v>
      </c>
      <c r="F89" s="28" t="s">
        <v>71</v>
      </c>
      <c r="G89" s="31">
        <f>SUMIFS('Enero Data'!C:C,'Enero Data'!A:A,B89,'Enero Data'!B:B,F89)</f>
        <v>3375148.4</v>
      </c>
      <c r="H89" s="32" t="str">
        <f>VLOOKUP(B89,'Enero Data'!A:D,4,FALSE)</f>
        <v>UESP1431</v>
      </c>
      <c r="I89" s="33" t="s">
        <v>31</v>
      </c>
      <c r="J89" s="85">
        <f>J82+1</f>
        <v>419</v>
      </c>
      <c r="K89" s="35"/>
    </row>
    <row r="90">
      <c r="A90" s="71" t="s">
        <v>30</v>
      </c>
      <c r="B90" s="70" t="s">
        <v>101</v>
      </c>
      <c r="C90" s="71" t="s">
        <v>72</v>
      </c>
      <c r="D90" s="72" t="s">
        <v>69</v>
      </c>
      <c r="E90" s="73" t="s">
        <v>102</v>
      </c>
      <c r="F90" s="71" t="s">
        <v>73</v>
      </c>
      <c r="G90" s="62">
        <f>SUMIFS('Enero Data'!C:C,'Enero Data'!A:A,B90,'Enero Data'!B:B,F90)</f>
        <v>0</v>
      </c>
      <c r="H90" s="82" t="str">
        <f>VLOOKUP(B90,'Enero Data'!A:D,4,FALSE)</f>
        <v>UESP1431</v>
      </c>
      <c r="I90" s="46" t="s">
        <v>31</v>
      </c>
      <c r="J90" s="83"/>
      <c r="K90" s="35"/>
    </row>
    <row r="91">
      <c r="A91" s="50" t="s">
        <v>30</v>
      </c>
      <c r="B91" s="128" t="s">
        <v>101</v>
      </c>
      <c r="C91" s="129" t="s">
        <v>72</v>
      </c>
      <c r="D91" s="50" t="s">
        <v>69</v>
      </c>
      <c r="E91" s="51" t="s">
        <v>102</v>
      </c>
      <c r="F91" s="50" t="s">
        <v>74</v>
      </c>
      <c r="G91" s="52">
        <f>G90+G89</f>
        <v>3375148.4</v>
      </c>
      <c r="H91" s="97" t="str">
        <f>VLOOKUP(B91,'Enero Data'!A:D,4,FALSE)</f>
        <v>UESP1431</v>
      </c>
      <c r="I91" s="98"/>
      <c r="J91" s="78"/>
      <c r="K91" s="35"/>
    </row>
    <row r="92" hidden="1">
      <c r="A92" s="91" t="s">
        <v>30</v>
      </c>
      <c r="B92" s="27" t="s">
        <v>101</v>
      </c>
      <c r="C92" s="28" t="s">
        <v>59</v>
      </c>
      <c r="D92" s="56" t="s">
        <v>59</v>
      </c>
      <c r="E92" s="88"/>
      <c r="F92" s="41" t="s">
        <v>75</v>
      </c>
      <c r="G92" s="44">
        <f>G91*5%</f>
        <v>168757.42</v>
      </c>
      <c r="H92" s="45" t="str">
        <f>VLOOKUP(B92,'Enero Data'!A:D,4,FALSE)</f>
        <v>UESP1431</v>
      </c>
      <c r="I92" s="98"/>
      <c r="J92" s="92"/>
      <c r="K92" s="35"/>
    </row>
    <row r="93" hidden="1">
      <c r="A93" s="80" t="s">
        <v>30</v>
      </c>
      <c r="B93" s="70" t="s">
        <v>101</v>
      </c>
      <c r="C93" s="71" t="s">
        <v>59</v>
      </c>
      <c r="D93" s="81" t="s">
        <v>59</v>
      </c>
      <c r="E93" s="88"/>
      <c r="F93" s="71" t="s">
        <v>58</v>
      </c>
      <c r="G93" s="62">
        <f>G92</f>
        <v>168757.42</v>
      </c>
      <c r="H93" s="82" t="str">
        <f>VLOOKUP(B93,'Enero Data'!A:D,4,FALSE)</f>
        <v>UESP1431</v>
      </c>
      <c r="I93" s="98"/>
      <c r="J93" s="83"/>
      <c r="K93" s="35"/>
    </row>
    <row r="94">
      <c r="A94" s="28" t="s">
        <v>32</v>
      </c>
      <c r="B94" s="27" t="s">
        <v>103</v>
      </c>
      <c r="C94" s="28" t="s">
        <v>58</v>
      </c>
      <c r="D94" s="29" t="s">
        <v>69</v>
      </c>
      <c r="E94" s="30" t="s">
        <v>104</v>
      </c>
      <c r="F94" s="28" t="s">
        <v>71</v>
      </c>
      <c r="G94" s="31">
        <f>SUMIFS('Enero Data'!C:C,'Enero Data'!A:A,B94,'Enero Data'!B:B,F94)</f>
        <v>0</v>
      </c>
      <c r="H94" s="32" t="str">
        <f>VLOOKUP(B94,'Enero Data'!A:D,4,FALSE)</f>
        <v>#N/A</v>
      </c>
      <c r="I94" s="33" t="s">
        <v>33</v>
      </c>
      <c r="J94" s="106">
        <f>J89</f>
        <v>419</v>
      </c>
      <c r="K94" s="35"/>
    </row>
    <row r="95">
      <c r="A95" s="71" t="s">
        <v>32</v>
      </c>
      <c r="B95" s="70" t="s">
        <v>103</v>
      </c>
      <c r="C95" s="71" t="s">
        <v>72</v>
      </c>
      <c r="D95" s="72" t="s">
        <v>69</v>
      </c>
      <c r="E95" s="73" t="s">
        <v>104</v>
      </c>
      <c r="F95" s="71" t="s">
        <v>73</v>
      </c>
      <c r="G95" s="62">
        <f>SUMIFS('Enero Data'!C:C,'Enero Data'!A:A,B95,'Enero Data'!B:B,F95)</f>
        <v>0</v>
      </c>
      <c r="H95" s="82" t="str">
        <f>VLOOKUP(B95,'Enero Data'!A:D,4,FALSE)</f>
        <v>#N/A</v>
      </c>
      <c r="I95" s="46" t="s">
        <v>33</v>
      </c>
      <c r="J95" s="83"/>
      <c r="K95" s="35"/>
    </row>
    <row r="96">
      <c r="A96" s="50" t="s">
        <v>32</v>
      </c>
      <c r="B96" s="128" t="s">
        <v>103</v>
      </c>
      <c r="C96" s="129" t="s">
        <v>72</v>
      </c>
      <c r="D96" s="50" t="s">
        <v>69</v>
      </c>
      <c r="E96" s="51" t="s">
        <v>104</v>
      </c>
      <c r="F96" s="50" t="s">
        <v>74</v>
      </c>
      <c r="G96" s="52">
        <f>G95+G94</f>
        <v>0</v>
      </c>
      <c r="H96" s="97" t="str">
        <f>VLOOKUP(B96,'Enero Data'!A:D,4,FALSE)</f>
        <v>#N/A</v>
      </c>
      <c r="I96" s="98"/>
      <c r="J96" s="78"/>
      <c r="K96" s="35"/>
    </row>
    <row r="97" hidden="1">
      <c r="A97" s="102" t="s">
        <v>32</v>
      </c>
      <c r="B97" s="27" t="s">
        <v>103</v>
      </c>
      <c r="C97" s="28" t="s">
        <v>59</v>
      </c>
      <c r="D97" s="56" t="s">
        <v>59</v>
      </c>
      <c r="E97" s="88"/>
      <c r="F97" s="41" t="s">
        <v>75</v>
      </c>
      <c r="G97" s="44">
        <f>G96*5%</f>
        <v>0</v>
      </c>
      <c r="H97" s="45" t="str">
        <f>VLOOKUP(B97,'Enero Data'!A:D,4,FALSE)</f>
        <v>#N/A</v>
      </c>
      <c r="I97" s="98"/>
      <c r="J97" s="92"/>
      <c r="K97" s="35"/>
    </row>
    <row r="98" hidden="1">
      <c r="A98" s="103" t="s">
        <v>32</v>
      </c>
      <c r="B98" s="40" t="s">
        <v>103</v>
      </c>
      <c r="C98" s="41" t="s">
        <v>59</v>
      </c>
      <c r="D98" s="56" t="s">
        <v>59</v>
      </c>
      <c r="E98" s="88"/>
      <c r="F98" s="41" t="s">
        <v>58</v>
      </c>
      <c r="G98" s="62">
        <f>G97</f>
        <v>0</v>
      </c>
      <c r="H98" s="45" t="str">
        <f>VLOOKUP(B98,'Enero Data'!A:D,4,FALSE)</f>
        <v>#N/A</v>
      </c>
      <c r="I98" s="98"/>
      <c r="J98" s="79"/>
      <c r="K98" s="35"/>
    </row>
    <row r="99">
      <c r="A99" s="28" t="s">
        <v>34</v>
      </c>
      <c r="B99" s="27" t="s">
        <v>105</v>
      </c>
      <c r="C99" s="28" t="s">
        <v>58</v>
      </c>
      <c r="D99" s="29" t="s">
        <v>69</v>
      </c>
      <c r="E99" s="30" t="s">
        <v>99</v>
      </c>
      <c r="F99" s="28" t="s">
        <v>71</v>
      </c>
      <c r="G99" s="31">
        <f>SUMIFS('Enero Data'!C:C,'Enero Data'!A:A,B99,'Enero Data'!B:B,F99)</f>
        <v>11294699.57</v>
      </c>
      <c r="H99" s="63" t="str">
        <f>VLOOKUP(B99,'Enero Data'!A:D,4,FALSE)</f>
        <v>UESP1436</v>
      </c>
      <c r="I99" s="64" t="s">
        <v>35</v>
      </c>
      <c r="J99" s="65">
        <f>J89+1</f>
        <v>420</v>
      </c>
      <c r="K99" s="35"/>
    </row>
    <row r="100">
      <c r="A100" s="41" t="s">
        <v>34</v>
      </c>
      <c r="B100" s="40" t="s">
        <v>105</v>
      </c>
      <c r="C100" s="41" t="s">
        <v>72</v>
      </c>
      <c r="D100" s="42" t="s">
        <v>69</v>
      </c>
      <c r="E100" s="43" t="s">
        <v>99</v>
      </c>
      <c r="F100" s="41" t="s">
        <v>73</v>
      </c>
      <c r="G100" s="44">
        <f>SUMIFS('Enero Data'!C:C,'Enero Data'!A:A,B100,'Enero Data'!B:B,F100)</f>
        <v>0</v>
      </c>
      <c r="H100" s="66" t="str">
        <f>VLOOKUP(B100,'Enero Data'!A:D,4,FALSE)</f>
        <v>UESP1436</v>
      </c>
      <c r="I100" s="67" t="s">
        <v>35</v>
      </c>
      <c r="J100" s="68"/>
      <c r="K100" s="35"/>
    </row>
    <row r="101">
      <c r="A101" s="41" t="s">
        <v>34</v>
      </c>
      <c r="B101" s="40" t="s">
        <v>105</v>
      </c>
      <c r="C101" s="41" t="s">
        <v>72</v>
      </c>
      <c r="D101" s="42" t="s">
        <v>69</v>
      </c>
      <c r="F101" s="41" t="s">
        <v>80</v>
      </c>
      <c r="G101" s="44">
        <f>(G99+G100)*4%</f>
        <v>451787.9828</v>
      </c>
      <c r="H101" s="66" t="str">
        <f>VLOOKUP(B101,'Enero Data'!A:D,4,FALSE)</f>
        <v>UESP1436</v>
      </c>
      <c r="I101" s="41"/>
      <c r="J101" s="68"/>
      <c r="K101" s="35"/>
    </row>
    <row r="102">
      <c r="A102" s="71" t="s">
        <v>34</v>
      </c>
      <c r="B102" s="70" t="s">
        <v>105</v>
      </c>
      <c r="C102" s="71" t="s">
        <v>72</v>
      </c>
      <c r="D102" s="72" t="s">
        <v>69</v>
      </c>
      <c r="E102" s="73"/>
      <c r="F102" s="71" t="s">
        <v>100</v>
      </c>
      <c r="G102" s="62">
        <f>(G99+G100)*0.8%</f>
        <v>90357.59656</v>
      </c>
      <c r="H102" s="66" t="str">
        <f>VLOOKUP(B102,'Enero Data'!A:D,4,FALSE)</f>
        <v>UESP1436</v>
      </c>
      <c r="I102" s="71"/>
      <c r="J102" s="76"/>
      <c r="K102" s="35"/>
    </row>
    <row r="103">
      <c r="A103" s="50" t="s">
        <v>34</v>
      </c>
      <c r="B103" s="128" t="s">
        <v>105</v>
      </c>
      <c r="C103" s="129" t="s">
        <v>72</v>
      </c>
      <c r="D103" s="50" t="s">
        <v>69</v>
      </c>
      <c r="E103" s="51" t="s">
        <v>99</v>
      </c>
      <c r="F103" s="50" t="s">
        <v>74</v>
      </c>
      <c r="G103" s="52">
        <f>G99+G100-G101-G102</f>
        <v>10752553.99</v>
      </c>
      <c r="H103" s="97" t="str">
        <f>VLOOKUP(B103,'Enero Data'!A:D,4,FALSE)</f>
        <v>UESP1436</v>
      </c>
      <c r="I103" s="98"/>
      <c r="J103" s="78"/>
      <c r="K103" s="35"/>
    </row>
    <row r="104" hidden="1">
      <c r="A104" s="91" t="s">
        <v>34</v>
      </c>
      <c r="B104" s="27" t="s">
        <v>105</v>
      </c>
      <c r="C104" s="28" t="s">
        <v>59</v>
      </c>
      <c r="D104" s="56" t="s">
        <v>59</v>
      </c>
      <c r="E104" s="88"/>
      <c r="F104" s="41" t="s">
        <v>75</v>
      </c>
      <c r="G104" s="44">
        <f>G103*5%</f>
        <v>537627.6995</v>
      </c>
      <c r="H104" s="45" t="str">
        <f>VLOOKUP(B104,'Enero Data'!A:D,4,FALSE)</f>
        <v>UESP1436</v>
      </c>
      <c r="I104" s="98"/>
      <c r="J104" s="92"/>
      <c r="K104" s="35"/>
    </row>
    <row r="105" hidden="1">
      <c r="A105" s="80" t="s">
        <v>34</v>
      </c>
      <c r="B105" s="70" t="s">
        <v>105</v>
      </c>
      <c r="C105" s="71" t="s">
        <v>59</v>
      </c>
      <c r="D105" s="81" t="s">
        <v>59</v>
      </c>
      <c r="E105" s="88"/>
      <c r="F105" s="71" t="s">
        <v>58</v>
      </c>
      <c r="G105" s="62">
        <f>G104</f>
        <v>537627.6995</v>
      </c>
      <c r="H105" s="82" t="str">
        <f>VLOOKUP(B105,'Enero Data'!A:D,4,FALSE)</f>
        <v>UESP1436</v>
      </c>
      <c r="I105" s="98"/>
      <c r="J105" s="83"/>
      <c r="K105" s="35"/>
    </row>
    <row r="106">
      <c r="A106" s="28" t="s">
        <v>44</v>
      </c>
      <c r="B106" s="27" t="s">
        <v>106</v>
      </c>
      <c r="C106" s="28" t="s">
        <v>58</v>
      </c>
      <c r="D106" s="29" t="s">
        <v>69</v>
      </c>
      <c r="E106" s="30" t="s">
        <v>107</v>
      </c>
      <c r="F106" s="28" t="s">
        <v>71</v>
      </c>
      <c r="G106" s="31">
        <f>SUMIFS('Enero Data'!C:C,'Enero Data'!A:A,B106,'Enero Data'!B:B,F106)</f>
        <v>3806408.03</v>
      </c>
      <c r="H106" s="32" t="str">
        <f>VLOOKUP(B106,'Enero Data'!A:D,4,FALSE)</f>
        <v>UESP1426</v>
      </c>
      <c r="I106" s="33" t="s">
        <v>45</v>
      </c>
      <c r="J106" s="85">
        <f>J99+1</f>
        <v>421</v>
      </c>
      <c r="K106" s="35"/>
    </row>
    <row r="107">
      <c r="A107" s="71" t="s">
        <v>44</v>
      </c>
      <c r="B107" s="70" t="s">
        <v>106</v>
      </c>
      <c r="C107" s="71" t="s">
        <v>72</v>
      </c>
      <c r="D107" s="72" t="s">
        <v>69</v>
      </c>
      <c r="E107" s="73" t="s">
        <v>107</v>
      </c>
      <c r="F107" s="71" t="s">
        <v>73</v>
      </c>
      <c r="G107" s="62">
        <f>SUMIFS('Enero Data'!C:C,'Enero Data'!A:A,B107,'Enero Data'!B:B,F107)</f>
        <v>0</v>
      </c>
      <c r="H107" s="82" t="str">
        <f>VLOOKUP(B107,'Enero Data'!A:D,4,FALSE)</f>
        <v>UESP1426</v>
      </c>
      <c r="I107" s="46" t="s">
        <v>45</v>
      </c>
      <c r="J107" s="83"/>
      <c r="K107" s="35"/>
    </row>
    <row r="108">
      <c r="A108" s="50" t="s">
        <v>44</v>
      </c>
      <c r="B108" s="128" t="s">
        <v>106</v>
      </c>
      <c r="C108" s="129" t="s">
        <v>72</v>
      </c>
      <c r="D108" s="50" t="s">
        <v>69</v>
      </c>
      <c r="E108" s="51" t="s">
        <v>107</v>
      </c>
      <c r="F108" s="50" t="s">
        <v>74</v>
      </c>
      <c r="G108" s="52">
        <f>G107+G106</f>
        <v>3806408.03</v>
      </c>
      <c r="H108" s="97" t="str">
        <f>VLOOKUP(B108,'Enero Data'!A:D,4,FALSE)</f>
        <v>UESP1426</v>
      </c>
      <c r="I108" s="98"/>
      <c r="J108" s="78"/>
      <c r="K108" s="35"/>
    </row>
    <row r="109" hidden="1">
      <c r="A109" s="91" t="s">
        <v>44</v>
      </c>
      <c r="B109" s="27" t="s">
        <v>106</v>
      </c>
      <c r="C109" s="28" t="s">
        <v>59</v>
      </c>
      <c r="D109" s="56" t="s">
        <v>59</v>
      </c>
      <c r="E109" s="88"/>
      <c r="F109" s="41" t="s">
        <v>75</v>
      </c>
      <c r="G109" s="44">
        <f>G108*5%</f>
        <v>190320.4015</v>
      </c>
      <c r="H109" s="45" t="str">
        <f>VLOOKUP(B109,'Enero Data'!A:D,4,FALSE)</f>
        <v>UESP1426</v>
      </c>
      <c r="I109" s="98"/>
      <c r="J109" s="92"/>
      <c r="K109" s="35"/>
    </row>
    <row r="110" hidden="1">
      <c r="A110" s="37" t="s">
        <v>44</v>
      </c>
      <c r="B110" s="40" t="s">
        <v>106</v>
      </c>
      <c r="C110" s="41" t="s">
        <v>59</v>
      </c>
      <c r="D110" s="56" t="s">
        <v>59</v>
      </c>
      <c r="E110" s="88"/>
      <c r="F110" s="41" t="s">
        <v>58</v>
      </c>
      <c r="G110" s="62">
        <f>G109</f>
        <v>190320.4015</v>
      </c>
      <c r="H110" s="45" t="str">
        <f>VLOOKUP(B110,'Enero Data'!A:D,4,FALSE)</f>
        <v>UESP1426</v>
      </c>
      <c r="I110" s="98"/>
      <c r="J110" s="79"/>
      <c r="K110" s="35"/>
    </row>
    <row r="111" ht="14.25" customHeight="1">
      <c r="A111" s="28" t="s">
        <v>36</v>
      </c>
      <c r="B111" s="27" t="s">
        <v>108</v>
      </c>
      <c r="C111" s="28" t="s">
        <v>58</v>
      </c>
      <c r="D111" s="29" t="s">
        <v>69</v>
      </c>
      <c r="E111" s="30" t="s">
        <v>82</v>
      </c>
      <c r="F111" s="28" t="s">
        <v>71</v>
      </c>
      <c r="G111" s="31">
        <f>SUMIFS('Enero Data'!C:C,'Enero Data'!A:A,B111,'Enero Data'!B:B,F111)</f>
        <v>3087340.2</v>
      </c>
      <c r="H111" s="63" t="str">
        <f>VLOOKUP(B111,'Enero Data'!A:D,4,FALSE)</f>
        <v>UESP1435</v>
      </c>
      <c r="I111" s="64" t="s">
        <v>37</v>
      </c>
      <c r="J111" s="65">
        <f>J106+1</f>
        <v>422</v>
      </c>
      <c r="K111" s="35"/>
    </row>
    <row r="112" ht="14.25" customHeight="1">
      <c r="A112" s="41" t="s">
        <v>36</v>
      </c>
      <c r="B112" s="40" t="s">
        <v>108</v>
      </c>
      <c r="C112" s="41" t="s">
        <v>72</v>
      </c>
      <c r="D112" s="42" t="s">
        <v>69</v>
      </c>
      <c r="E112" s="43" t="s">
        <v>82</v>
      </c>
      <c r="F112" s="41" t="s">
        <v>73</v>
      </c>
      <c r="G112" s="44">
        <f>SUMIFS('Enero Data'!C:C,'Enero Data'!A:A,B112,'Enero Data'!B:B,F112)</f>
        <v>50874.54</v>
      </c>
      <c r="H112" s="66" t="str">
        <f>VLOOKUP(B112,'Enero Data'!A:D,4,FALSE)</f>
        <v>UESP1435</v>
      </c>
      <c r="I112" s="67" t="s">
        <v>37</v>
      </c>
      <c r="J112" s="68"/>
      <c r="K112" s="35"/>
    </row>
    <row r="113" ht="14.25" customHeight="1">
      <c r="A113" s="71" t="s">
        <v>36</v>
      </c>
      <c r="B113" s="70" t="s">
        <v>108</v>
      </c>
      <c r="C113" s="71" t="s">
        <v>72</v>
      </c>
      <c r="D113" s="72" t="s">
        <v>69</v>
      </c>
      <c r="E113" s="73"/>
      <c r="F113" s="71" t="s">
        <v>80</v>
      </c>
      <c r="G113" s="62">
        <f>(G111+G112)*4%</f>
        <v>125528.5896</v>
      </c>
      <c r="H113" s="66" t="str">
        <f>VLOOKUP(B113,'Enero Data'!A:D,4,FALSE)</f>
        <v>UESP1435</v>
      </c>
      <c r="I113" s="71"/>
      <c r="J113" s="76"/>
      <c r="K113" s="35"/>
    </row>
    <row r="114" ht="14.25" customHeight="1">
      <c r="A114" s="50" t="s">
        <v>36</v>
      </c>
      <c r="B114" s="110" t="s">
        <v>108</v>
      </c>
      <c r="C114" s="111" t="s">
        <v>72</v>
      </c>
      <c r="D114" s="111" t="s">
        <v>69</v>
      </c>
      <c r="E114" s="112" t="s">
        <v>82</v>
      </c>
      <c r="F114" s="50" t="s">
        <v>74</v>
      </c>
      <c r="G114" s="52">
        <f>G111+G112-G113</f>
        <v>3012686.15</v>
      </c>
      <c r="H114" s="113" t="str">
        <f>VLOOKUP(B114,'Enero Data'!A:D,4,FALSE)</f>
        <v>UESP1435</v>
      </c>
      <c r="I114" s="114"/>
      <c r="J114" s="115"/>
      <c r="K114" s="35"/>
    </row>
    <row r="115" ht="14.25" hidden="1" customHeight="1">
      <c r="A115" s="91" t="s">
        <v>36</v>
      </c>
      <c r="B115" s="27" t="s">
        <v>108</v>
      </c>
      <c r="C115" s="28" t="s">
        <v>59</v>
      </c>
      <c r="D115" s="56" t="s">
        <v>59</v>
      </c>
      <c r="E115" s="88"/>
      <c r="F115" s="41" t="s">
        <v>75</v>
      </c>
      <c r="G115" s="44">
        <f>G114*5%</f>
        <v>150634.3075</v>
      </c>
      <c r="H115" s="45" t="str">
        <f>VLOOKUP(B115,'Enero Data'!A:D,4,FALSE)</f>
        <v>UESP1435</v>
      </c>
      <c r="I115" s="51"/>
      <c r="J115" s="92"/>
      <c r="K115" s="35"/>
    </row>
    <row r="116" ht="14.25" hidden="1" customHeight="1">
      <c r="A116" s="80" t="s">
        <v>36</v>
      </c>
      <c r="B116" s="70" t="s">
        <v>108</v>
      </c>
      <c r="C116" s="71" t="s">
        <v>59</v>
      </c>
      <c r="D116" s="81" t="s">
        <v>59</v>
      </c>
      <c r="E116" s="88"/>
      <c r="F116" s="71" t="s">
        <v>58</v>
      </c>
      <c r="G116" s="62">
        <f>G115</f>
        <v>150634.3075</v>
      </c>
      <c r="H116" s="82" t="str">
        <f>VLOOKUP(B116,'Enero Data'!A:D,4,FALSE)</f>
        <v>UESP1435</v>
      </c>
      <c r="I116" s="51"/>
      <c r="J116" s="83"/>
      <c r="K116" s="35"/>
    </row>
    <row r="117" hidden="1">
      <c r="B117" s="116"/>
      <c r="G117" s="117"/>
      <c r="H117" s="118"/>
      <c r="J117" s="119"/>
      <c r="K117" s="35"/>
    </row>
    <row r="118" hidden="1">
      <c r="B118" s="116"/>
      <c r="G118" s="117"/>
      <c r="H118" s="118"/>
      <c r="J118" s="119"/>
      <c r="K118" s="35"/>
    </row>
    <row r="119" hidden="1">
      <c r="B119" s="116"/>
      <c r="G119" s="117"/>
      <c r="H119" s="118"/>
      <c r="J119" s="119"/>
      <c r="K119" s="35"/>
    </row>
    <row r="120" hidden="1">
      <c r="B120" s="116"/>
      <c r="G120" s="117"/>
      <c r="H120" s="118"/>
      <c r="J120" s="119"/>
      <c r="K120" s="35"/>
    </row>
    <row r="121" hidden="1">
      <c r="B121" s="116"/>
      <c r="G121" s="117"/>
      <c r="H121" s="118"/>
      <c r="J121" s="119"/>
      <c r="K121" s="35"/>
    </row>
    <row r="122" hidden="1">
      <c r="B122" s="116"/>
      <c r="G122" s="117"/>
      <c r="H122" s="118"/>
      <c r="J122" s="119"/>
      <c r="K122" s="35"/>
    </row>
    <row r="123" hidden="1">
      <c r="B123" s="116"/>
      <c r="G123" s="117"/>
      <c r="H123" s="118"/>
      <c r="J123" s="119"/>
      <c r="K123" s="35"/>
    </row>
    <row r="124" hidden="1">
      <c r="B124" s="116"/>
      <c r="G124" s="117"/>
      <c r="H124" s="118"/>
      <c r="J124" s="119"/>
      <c r="K124" s="35"/>
    </row>
    <row r="125" hidden="1">
      <c r="B125" s="116"/>
      <c r="G125" s="117"/>
      <c r="H125" s="118"/>
      <c r="J125" s="119"/>
      <c r="K125" s="35"/>
    </row>
    <row r="126" hidden="1">
      <c r="B126" s="116"/>
      <c r="G126" s="117"/>
      <c r="H126" s="118"/>
      <c r="J126" s="119"/>
      <c r="K126" s="35"/>
    </row>
    <row r="127" hidden="1">
      <c r="B127" s="116"/>
      <c r="G127" s="117"/>
      <c r="H127" s="118"/>
      <c r="J127" s="119"/>
      <c r="K127" s="35"/>
    </row>
    <row r="128" hidden="1">
      <c r="B128" s="116"/>
      <c r="G128" s="117"/>
      <c r="H128" s="118"/>
      <c r="J128" s="119"/>
      <c r="K128" s="35"/>
    </row>
    <row r="129" hidden="1">
      <c r="B129" s="116"/>
      <c r="G129" s="117"/>
      <c r="H129" s="118"/>
      <c r="J129" s="119"/>
      <c r="K129" s="35"/>
    </row>
    <row r="130" hidden="1">
      <c r="B130" s="116"/>
      <c r="G130" s="117"/>
      <c r="H130" s="118"/>
      <c r="J130" s="119"/>
      <c r="K130" s="35"/>
    </row>
    <row r="131" hidden="1">
      <c r="B131" s="116"/>
      <c r="G131" s="117"/>
      <c r="H131" s="118"/>
      <c r="J131" s="119"/>
      <c r="K131" s="35"/>
    </row>
    <row r="132" hidden="1">
      <c r="B132" s="116"/>
      <c r="G132" s="117"/>
      <c r="H132" s="118"/>
      <c r="J132" s="119"/>
      <c r="K132" s="35"/>
    </row>
    <row r="133" hidden="1">
      <c r="B133" s="116"/>
      <c r="G133" s="117"/>
      <c r="H133" s="118"/>
      <c r="J133" s="119"/>
      <c r="K133" s="35"/>
    </row>
    <row r="134" hidden="1">
      <c r="B134" s="116"/>
      <c r="G134" s="117"/>
      <c r="H134" s="118"/>
      <c r="J134" s="119"/>
      <c r="K134" s="35"/>
    </row>
    <row r="135" hidden="1">
      <c r="B135" s="116"/>
      <c r="G135" s="117"/>
      <c r="H135" s="118"/>
      <c r="J135" s="119"/>
      <c r="K135" s="35"/>
    </row>
    <row r="136" hidden="1">
      <c r="B136" s="116"/>
      <c r="G136" s="117"/>
      <c r="H136" s="118"/>
      <c r="J136" s="119"/>
      <c r="K136" s="35"/>
    </row>
    <row r="137" hidden="1">
      <c r="B137" s="116"/>
      <c r="G137" s="117"/>
      <c r="H137" s="118"/>
      <c r="J137" s="119"/>
      <c r="K137" s="35"/>
    </row>
    <row r="138" hidden="1">
      <c r="B138" s="116"/>
      <c r="G138" s="117"/>
      <c r="H138" s="118"/>
      <c r="J138" s="119"/>
      <c r="K138" s="35"/>
    </row>
    <row r="139" hidden="1">
      <c r="B139" s="116"/>
      <c r="G139" s="117"/>
      <c r="H139" s="118"/>
      <c r="J139" s="119"/>
      <c r="K139" s="35"/>
    </row>
    <row r="140" hidden="1">
      <c r="B140" s="116"/>
      <c r="G140" s="117"/>
      <c r="H140" s="118"/>
      <c r="J140" s="119"/>
      <c r="K140" s="35"/>
    </row>
    <row r="141" hidden="1">
      <c r="B141" s="116"/>
      <c r="G141" s="117"/>
      <c r="H141" s="118"/>
      <c r="J141" s="119"/>
      <c r="K141" s="35"/>
    </row>
    <row r="142" hidden="1">
      <c r="B142" s="116"/>
      <c r="G142" s="117"/>
      <c r="H142" s="118"/>
      <c r="J142" s="119"/>
      <c r="K142" s="35"/>
    </row>
    <row r="143" hidden="1">
      <c r="B143" s="116"/>
      <c r="G143" s="117"/>
      <c r="H143" s="118"/>
      <c r="J143" s="119"/>
      <c r="K143" s="35"/>
    </row>
    <row r="144" hidden="1">
      <c r="B144" s="116"/>
      <c r="G144" s="117"/>
      <c r="H144" s="118"/>
      <c r="J144" s="119"/>
      <c r="K144" s="35"/>
    </row>
    <row r="145" hidden="1">
      <c r="B145" s="116"/>
      <c r="G145" s="117"/>
      <c r="H145" s="118"/>
      <c r="J145" s="119"/>
      <c r="K145" s="35"/>
    </row>
    <row r="146" hidden="1">
      <c r="B146" s="116"/>
      <c r="G146" s="117"/>
      <c r="H146" s="118"/>
      <c r="J146" s="119"/>
      <c r="K146" s="35"/>
    </row>
    <row r="147" hidden="1">
      <c r="B147" s="116"/>
      <c r="G147" s="117"/>
      <c r="H147" s="118"/>
      <c r="J147" s="119"/>
      <c r="K147" s="35"/>
    </row>
    <row r="148" hidden="1">
      <c r="B148" s="116"/>
      <c r="G148" s="117"/>
      <c r="H148" s="118"/>
      <c r="J148" s="119"/>
      <c r="K148" s="35"/>
    </row>
    <row r="149" hidden="1">
      <c r="B149" s="116"/>
      <c r="G149" s="117"/>
      <c r="H149" s="118"/>
      <c r="J149" s="119"/>
      <c r="K149" s="35"/>
    </row>
    <row r="150" hidden="1">
      <c r="B150" s="116"/>
      <c r="G150" s="117"/>
      <c r="H150" s="118"/>
      <c r="J150" s="119"/>
      <c r="K150" s="35"/>
    </row>
    <row r="151" hidden="1">
      <c r="B151" s="116"/>
      <c r="G151" s="117"/>
      <c r="H151" s="118"/>
      <c r="J151" s="119"/>
      <c r="K151" s="35"/>
    </row>
    <row r="152" hidden="1">
      <c r="B152" s="116"/>
      <c r="G152" s="117"/>
      <c r="H152" s="118"/>
      <c r="J152" s="119"/>
      <c r="K152" s="35"/>
    </row>
    <row r="153" hidden="1">
      <c r="B153" s="116"/>
      <c r="G153" s="117"/>
      <c r="H153" s="118"/>
      <c r="J153" s="119"/>
      <c r="K153" s="35"/>
    </row>
    <row r="154" hidden="1">
      <c r="B154" s="116"/>
      <c r="G154" s="117"/>
      <c r="H154" s="118"/>
      <c r="J154" s="119"/>
      <c r="K154" s="35"/>
    </row>
    <row r="155" hidden="1">
      <c r="B155" s="116"/>
      <c r="G155" s="117"/>
      <c r="H155" s="118"/>
      <c r="J155" s="119"/>
      <c r="K155" s="35"/>
    </row>
    <row r="156" hidden="1">
      <c r="B156" s="116"/>
      <c r="G156" s="117"/>
      <c r="H156" s="118"/>
      <c r="J156" s="119"/>
      <c r="K156" s="35"/>
    </row>
    <row r="157" hidden="1">
      <c r="B157" s="116"/>
      <c r="G157" s="117"/>
      <c r="H157" s="118"/>
      <c r="J157" s="119"/>
      <c r="K157" s="35"/>
    </row>
    <row r="158" hidden="1">
      <c r="B158" s="116"/>
      <c r="G158" s="117"/>
      <c r="H158" s="118"/>
      <c r="J158" s="119"/>
      <c r="K158" s="35"/>
    </row>
    <row r="159" hidden="1">
      <c r="B159" s="116"/>
      <c r="G159" s="117"/>
      <c r="H159" s="118"/>
      <c r="J159" s="119"/>
      <c r="K159" s="35"/>
    </row>
    <row r="160" hidden="1">
      <c r="B160" s="116"/>
      <c r="G160" s="117"/>
      <c r="H160" s="118"/>
      <c r="J160" s="119"/>
      <c r="K160" s="35"/>
    </row>
    <row r="161" hidden="1">
      <c r="B161" s="116"/>
      <c r="G161" s="117"/>
      <c r="H161" s="118"/>
      <c r="J161" s="119"/>
      <c r="K161" s="35"/>
    </row>
    <row r="162" hidden="1">
      <c r="B162" s="116"/>
      <c r="G162" s="117"/>
      <c r="H162" s="118"/>
      <c r="J162" s="119"/>
      <c r="K162" s="35"/>
    </row>
    <row r="163" hidden="1">
      <c r="B163" s="116"/>
      <c r="G163" s="117"/>
      <c r="H163" s="118"/>
      <c r="J163" s="119"/>
      <c r="K163" s="35"/>
    </row>
    <row r="164" hidden="1">
      <c r="B164" s="116"/>
      <c r="G164" s="117"/>
      <c r="H164" s="118"/>
      <c r="J164" s="119"/>
      <c r="K164" s="35"/>
    </row>
    <row r="165" hidden="1">
      <c r="B165" s="116"/>
      <c r="G165" s="117"/>
      <c r="H165" s="118"/>
      <c r="J165" s="119"/>
      <c r="K165" s="35"/>
    </row>
    <row r="166" hidden="1">
      <c r="B166" s="116"/>
      <c r="G166" s="117"/>
      <c r="H166" s="118"/>
      <c r="J166" s="119"/>
      <c r="K166" s="35"/>
    </row>
    <row r="167" hidden="1">
      <c r="B167" s="116"/>
      <c r="G167" s="117"/>
      <c r="H167" s="118"/>
      <c r="J167" s="119"/>
      <c r="K167" s="35"/>
    </row>
    <row r="168" hidden="1">
      <c r="B168" s="116"/>
      <c r="G168" s="117"/>
      <c r="H168" s="118"/>
      <c r="J168" s="119"/>
      <c r="K168" s="35"/>
    </row>
    <row r="169" hidden="1">
      <c r="B169" s="116"/>
      <c r="G169" s="117"/>
      <c r="H169" s="118"/>
      <c r="J169" s="119"/>
      <c r="K169" s="35"/>
    </row>
    <row r="170" hidden="1">
      <c r="B170" s="116"/>
      <c r="G170" s="117"/>
      <c r="H170" s="118"/>
      <c r="J170" s="119"/>
      <c r="K170" s="35"/>
    </row>
    <row r="171" hidden="1">
      <c r="B171" s="116"/>
      <c r="G171" s="117"/>
      <c r="H171" s="118"/>
      <c r="J171" s="119"/>
      <c r="K171" s="35"/>
    </row>
    <row r="172" hidden="1">
      <c r="B172" s="116"/>
      <c r="G172" s="117"/>
      <c r="H172" s="118"/>
      <c r="J172" s="119"/>
      <c r="K172" s="35"/>
    </row>
    <row r="173" hidden="1">
      <c r="B173" s="116"/>
      <c r="G173" s="117"/>
      <c r="H173" s="118"/>
      <c r="J173" s="119"/>
      <c r="K173" s="35"/>
    </row>
    <row r="174" hidden="1">
      <c r="B174" s="116"/>
      <c r="G174" s="117"/>
      <c r="H174" s="118"/>
      <c r="J174" s="119"/>
      <c r="K174" s="35"/>
    </row>
    <row r="175" hidden="1">
      <c r="B175" s="116"/>
      <c r="G175" s="117"/>
      <c r="H175" s="118"/>
      <c r="J175" s="119"/>
      <c r="K175" s="35"/>
    </row>
    <row r="176" hidden="1">
      <c r="B176" s="116"/>
      <c r="G176" s="117"/>
      <c r="H176" s="118"/>
      <c r="J176" s="119"/>
      <c r="K176" s="35"/>
    </row>
    <row r="177" hidden="1">
      <c r="B177" s="116"/>
      <c r="G177" s="117"/>
      <c r="H177" s="118"/>
      <c r="J177" s="119"/>
      <c r="K177" s="35"/>
    </row>
    <row r="178" hidden="1">
      <c r="B178" s="116"/>
      <c r="G178" s="117"/>
      <c r="H178" s="118"/>
      <c r="J178" s="119"/>
      <c r="K178" s="35"/>
    </row>
    <row r="179" hidden="1">
      <c r="B179" s="116"/>
      <c r="G179" s="117"/>
      <c r="H179" s="118"/>
      <c r="J179" s="119"/>
      <c r="K179" s="35"/>
    </row>
    <row r="180" hidden="1">
      <c r="B180" s="116"/>
      <c r="G180" s="117"/>
      <c r="H180" s="118"/>
      <c r="J180" s="119"/>
      <c r="K180" s="35"/>
    </row>
    <row r="181" hidden="1">
      <c r="B181" s="116"/>
      <c r="G181" s="117"/>
      <c r="H181" s="118"/>
      <c r="J181" s="119"/>
      <c r="K181" s="35"/>
    </row>
    <row r="182" hidden="1">
      <c r="B182" s="116"/>
      <c r="G182" s="117"/>
      <c r="H182" s="118"/>
      <c r="J182" s="119"/>
      <c r="K182" s="35"/>
    </row>
    <row r="183" hidden="1">
      <c r="B183" s="116"/>
      <c r="G183" s="117"/>
      <c r="H183" s="118"/>
      <c r="J183" s="119"/>
      <c r="K183" s="35"/>
    </row>
    <row r="184" hidden="1">
      <c r="B184" s="116"/>
      <c r="G184" s="117"/>
      <c r="H184" s="118"/>
      <c r="J184" s="119"/>
      <c r="K184" s="35"/>
    </row>
    <row r="185" hidden="1">
      <c r="B185" s="116"/>
      <c r="G185" s="117"/>
      <c r="H185" s="118"/>
      <c r="J185" s="119"/>
      <c r="K185" s="35"/>
    </row>
    <row r="186" hidden="1">
      <c r="B186" s="116"/>
      <c r="G186" s="117"/>
      <c r="H186" s="118"/>
      <c r="J186" s="119"/>
      <c r="K186" s="35"/>
    </row>
    <row r="187" hidden="1">
      <c r="B187" s="116"/>
      <c r="G187" s="117"/>
      <c r="H187" s="118"/>
      <c r="J187" s="119"/>
      <c r="K187" s="35"/>
    </row>
    <row r="188" hidden="1">
      <c r="B188" s="116"/>
      <c r="G188" s="117"/>
      <c r="H188" s="118"/>
      <c r="J188" s="119"/>
      <c r="K188" s="35"/>
    </row>
    <row r="189" hidden="1">
      <c r="B189" s="116"/>
      <c r="G189" s="117"/>
      <c r="H189" s="118"/>
      <c r="J189" s="119"/>
      <c r="K189" s="35"/>
    </row>
    <row r="190" hidden="1">
      <c r="B190" s="116"/>
      <c r="G190" s="117"/>
      <c r="H190" s="118"/>
      <c r="J190" s="119"/>
      <c r="K190" s="35"/>
    </row>
    <row r="191" hidden="1">
      <c r="B191" s="116"/>
      <c r="G191" s="117"/>
      <c r="H191" s="118"/>
      <c r="J191" s="119"/>
      <c r="K191" s="35"/>
    </row>
    <row r="192" hidden="1">
      <c r="B192" s="116"/>
      <c r="G192" s="117"/>
      <c r="H192" s="118"/>
      <c r="J192" s="119"/>
      <c r="K192" s="35"/>
    </row>
    <row r="193" hidden="1">
      <c r="B193" s="116"/>
      <c r="G193" s="117"/>
      <c r="H193" s="118"/>
      <c r="J193" s="119"/>
      <c r="K193" s="35"/>
    </row>
    <row r="194" hidden="1">
      <c r="B194" s="116"/>
      <c r="G194" s="117"/>
      <c r="H194" s="118"/>
      <c r="J194" s="119"/>
      <c r="K194" s="35"/>
    </row>
    <row r="195" hidden="1">
      <c r="B195" s="116"/>
      <c r="G195" s="117"/>
      <c r="H195" s="118"/>
      <c r="J195" s="119"/>
      <c r="K195" s="35"/>
    </row>
    <row r="196" hidden="1">
      <c r="B196" s="116"/>
      <c r="G196" s="117"/>
      <c r="H196" s="118"/>
      <c r="J196" s="119"/>
      <c r="K196" s="35"/>
    </row>
    <row r="197" hidden="1">
      <c r="B197" s="116"/>
      <c r="G197" s="117"/>
      <c r="H197" s="118"/>
      <c r="J197" s="119"/>
      <c r="K197" s="35"/>
    </row>
    <row r="198" hidden="1">
      <c r="B198" s="116"/>
      <c r="G198" s="117"/>
      <c r="H198" s="118"/>
      <c r="J198" s="119"/>
      <c r="K198" s="35"/>
    </row>
    <row r="199" hidden="1">
      <c r="B199" s="116"/>
      <c r="G199" s="117"/>
      <c r="H199" s="118"/>
      <c r="J199" s="119"/>
      <c r="K199" s="35"/>
    </row>
    <row r="200" hidden="1">
      <c r="B200" s="116"/>
      <c r="G200" s="117"/>
      <c r="H200" s="118"/>
      <c r="J200" s="119"/>
      <c r="K200" s="35"/>
    </row>
    <row r="201" hidden="1">
      <c r="B201" s="116"/>
      <c r="G201" s="117"/>
      <c r="H201" s="118"/>
      <c r="J201" s="119"/>
      <c r="K201" s="35"/>
    </row>
    <row r="202" hidden="1">
      <c r="B202" s="116"/>
      <c r="G202" s="117"/>
      <c r="H202" s="118"/>
      <c r="J202" s="119"/>
      <c r="K202" s="35"/>
    </row>
    <row r="203" hidden="1">
      <c r="B203" s="116"/>
      <c r="G203" s="117"/>
      <c r="H203" s="118"/>
      <c r="J203" s="119"/>
      <c r="K203" s="35"/>
    </row>
    <row r="204" hidden="1">
      <c r="B204" s="116"/>
      <c r="G204" s="117"/>
      <c r="H204" s="118"/>
      <c r="J204" s="119"/>
      <c r="K204" s="35"/>
    </row>
    <row r="205" hidden="1">
      <c r="B205" s="116"/>
      <c r="G205" s="117"/>
      <c r="H205" s="118"/>
      <c r="J205" s="119"/>
      <c r="K205" s="35"/>
    </row>
    <row r="206" hidden="1">
      <c r="B206" s="116"/>
      <c r="G206" s="117"/>
      <c r="H206" s="118"/>
      <c r="J206" s="119"/>
      <c r="K206" s="35"/>
    </row>
    <row r="207" hidden="1">
      <c r="B207" s="116"/>
      <c r="G207" s="117"/>
      <c r="H207" s="118"/>
      <c r="J207" s="119"/>
      <c r="K207" s="35"/>
    </row>
    <row r="208" hidden="1">
      <c r="B208" s="116"/>
      <c r="G208" s="117"/>
      <c r="H208" s="118"/>
      <c r="J208" s="119"/>
      <c r="K208" s="35"/>
    </row>
    <row r="209" hidden="1">
      <c r="B209" s="116"/>
      <c r="G209" s="117"/>
      <c r="H209" s="118"/>
      <c r="J209" s="119"/>
      <c r="K209" s="35"/>
    </row>
    <row r="210" hidden="1">
      <c r="B210" s="116"/>
      <c r="G210" s="117"/>
      <c r="H210" s="118"/>
      <c r="J210" s="119"/>
      <c r="K210" s="35"/>
    </row>
    <row r="211" hidden="1">
      <c r="B211" s="116"/>
      <c r="G211" s="117"/>
      <c r="H211" s="118"/>
      <c r="J211" s="119"/>
      <c r="K211" s="35"/>
    </row>
    <row r="212" hidden="1">
      <c r="B212" s="116"/>
      <c r="G212" s="117"/>
      <c r="H212" s="118"/>
      <c r="J212" s="119"/>
      <c r="K212" s="35"/>
    </row>
    <row r="213" hidden="1">
      <c r="B213" s="116"/>
      <c r="G213" s="117"/>
      <c r="H213" s="118"/>
      <c r="J213" s="119"/>
      <c r="K213" s="35"/>
    </row>
    <row r="214" hidden="1">
      <c r="B214" s="116"/>
      <c r="G214" s="117"/>
      <c r="H214" s="118"/>
      <c r="J214" s="119"/>
      <c r="K214" s="35"/>
    </row>
    <row r="215" hidden="1">
      <c r="B215" s="116"/>
      <c r="G215" s="117"/>
      <c r="H215" s="118"/>
      <c r="J215" s="119"/>
      <c r="K215" s="35"/>
    </row>
    <row r="216" hidden="1">
      <c r="B216" s="116"/>
      <c r="G216" s="117"/>
      <c r="H216" s="118"/>
      <c r="J216" s="119"/>
      <c r="K216" s="35"/>
    </row>
    <row r="217" hidden="1">
      <c r="B217" s="116"/>
      <c r="G217" s="117"/>
      <c r="H217" s="118"/>
      <c r="J217" s="119"/>
      <c r="K217" s="35"/>
    </row>
    <row r="218" hidden="1">
      <c r="B218" s="116"/>
      <c r="G218" s="117"/>
      <c r="H218" s="118"/>
      <c r="J218" s="119"/>
      <c r="K218" s="35"/>
    </row>
    <row r="219" hidden="1">
      <c r="B219" s="116"/>
      <c r="G219" s="117"/>
      <c r="H219" s="118"/>
      <c r="J219" s="119"/>
      <c r="K219" s="35"/>
    </row>
    <row r="220" hidden="1">
      <c r="B220" s="116"/>
      <c r="G220" s="117"/>
      <c r="H220" s="118"/>
      <c r="J220" s="119"/>
      <c r="K220" s="35"/>
    </row>
    <row r="221" hidden="1">
      <c r="B221" s="116"/>
      <c r="G221" s="117"/>
      <c r="H221" s="118"/>
      <c r="J221" s="119"/>
      <c r="K221" s="35"/>
    </row>
    <row r="222" hidden="1">
      <c r="B222" s="116"/>
      <c r="G222" s="117"/>
      <c r="H222" s="118"/>
      <c r="J222" s="119"/>
      <c r="K222" s="35"/>
    </row>
    <row r="223" hidden="1">
      <c r="B223" s="116"/>
      <c r="G223" s="117"/>
      <c r="H223" s="118"/>
      <c r="J223" s="119"/>
      <c r="K223" s="35"/>
    </row>
    <row r="224" hidden="1">
      <c r="B224" s="116"/>
      <c r="G224" s="117"/>
      <c r="H224" s="118"/>
      <c r="J224" s="119"/>
      <c r="K224" s="35"/>
    </row>
    <row r="225" hidden="1">
      <c r="B225" s="116"/>
      <c r="G225" s="117"/>
      <c r="H225" s="118"/>
      <c r="J225" s="119"/>
      <c r="K225" s="35"/>
    </row>
    <row r="226" hidden="1">
      <c r="B226" s="116"/>
      <c r="G226" s="117"/>
      <c r="H226" s="118"/>
      <c r="J226" s="119"/>
      <c r="K226" s="35"/>
    </row>
    <row r="227" hidden="1">
      <c r="B227" s="116"/>
      <c r="G227" s="117"/>
      <c r="H227" s="118"/>
      <c r="J227" s="119"/>
      <c r="K227" s="35"/>
    </row>
    <row r="228" hidden="1">
      <c r="B228" s="116"/>
      <c r="G228" s="117"/>
      <c r="H228" s="118"/>
      <c r="J228" s="119"/>
      <c r="K228" s="35"/>
    </row>
    <row r="229" hidden="1">
      <c r="B229" s="116"/>
      <c r="G229" s="117"/>
      <c r="H229" s="118"/>
      <c r="J229" s="119"/>
      <c r="K229" s="35"/>
    </row>
    <row r="230" hidden="1">
      <c r="B230" s="116"/>
      <c r="G230" s="117"/>
      <c r="H230" s="118"/>
      <c r="J230" s="119"/>
      <c r="K230" s="35"/>
    </row>
    <row r="231" hidden="1">
      <c r="B231" s="116"/>
      <c r="G231" s="117"/>
      <c r="H231" s="118"/>
      <c r="J231" s="119"/>
      <c r="K231" s="35"/>
    </row>
    <row r="232" hidden="1">
      <c r="B232" s="116"/>
      <c r="G232" s="117"/>
      <c r="H232" s="118"/>
      <c r="J232" s="119"/>
      <c r="K232" s="35"/>
    </row>
    <row r="233" hidden="1">
      <c r="B233" s="116"/>
      <c r="G233" s="117"/>
      <c r="H233" s="118"/>
      <c r="J233" s="119"/>
      <c r="K233" s="35"/>
    </row>
    <row r="234" hidden="1">
      <c r="B234" s="116"/>
      <c r="G234" s="117"/>
      <c r="H234" s="118"/>
      <c r="J234" s="119"/>
      <c r="K234" s="35"/>
    </row>
    <row r="235" hidden="1">
      <c r="B235" s="116"/>
      <c r="G235" s="117"/>
      <c r="H235" s="118"/>
      <c r="J235" s="119"/>
      <c r="K235" s="35"/>
    </row>
    <row r="236" hidden="1">
      <c r="B236" s="116"/>
      <c r="G236" s="117"/>
      <c r="H236" s="118"/>
      <c r="J236" s="119"/>
      <c r="K236" s="35"/>
    </row>
    <row r="237" hidden="1">
      <c r="B237" s="116"/>
      <c r="G237" s="117"/>
      <c r="H237" s="118"/>
      <c r="J237" s="119"/>
      <c r="K237" s="35"/>
    </row>
    <row r="238" hidden="1">
      <c r="B238" s="116"/>
      <c r="G238" s="117"/>
      <c r="H238" s="118"/>
      <c r="J238" s="119"/>
      <c r="K238" s="35"/>
    </row>
    <row r="239" hidden="1">
      <c r="B239" s="116"/>
      <c r="G239" s="117"/>
      <c r="H239" s="118"/>
      <c r="J239" s="119"/>
      <c r="K239" s="35"/>
    </row>
    <row r="240" hidden="1">
      <c r="B240" s="116"/>
      <c r="G240" s="117"/>
      <c r="H240" s="118"/>
      <c r="J240" s="119"/>
      <c r="K240" s="35"/>
    </row>
    <row r="241" hidden="1">
      <c r="B241" s="116"/>
      <c r="G241" s="117"/>
      <c r="H241" s="118"/>
      <c r="J241" s="119"/>
      <c r="K241" s="35"/>
    </row>
    <row r="242" hidden="1">
      <c r="B242" s="116"/>
      <c r="G242" s="117"/>
      <c r="H242" s="118"/>
      <c r="J242" s="119"/>
      <c r="K242" s="35"/>
    </row>
    <row r="243" hidden="1">
      <c r="B243" s="116"/>
      <c r="G243" s="117"/>
      <c r="H243" s="118"/>
      <c r="J243" s="119"/>
      <c r="K243" s="35"/>
    </row>
    <row r="244" hidden="1">
      <c r="B244" s="116"/>
      <c r="G244" s="117"/>
      <c r="H244" s="118"/>
      <c r="J244" s="119"/>
      <c r="K244" s="35"/>
    </row>
    <row r="245" hidden="1">
      <c r="B245" s="116"/>
      <c r="G245" s="117"/>
      <c r="H245" s="118"/>
      <c r="J245" s="119"/>
      <c r="K245" s="35"/>
    </row>
    <row r="246" hidden="1">
      <c r="B246" s="116"/>
      <c r="G246" s="117"/>
      <c r="H246" s="118"/>
      <c r="J246" s="119"/>
      <c r="K246" s="35"/>
    </row>
    <row r="247" hidden="1">
      <c r="B247" s="116"/>
      <c r="G247" s="117"/>
      <c r="H247" s="118"/>
      <c r="J247" s="119"/>
      <c r="K247" s="35"/>
    </row>
    <row r="248" hidden="1">
      <c r="B248" s="116"/>
      <c r="G248" s="117"/>
      <c r="H248" s="118"/>
      <c r="J248" s="119"/>
      <c r="K248" s="35"/>
    </row>
    <row r="249" hidden="1">
      <c r="B249" s="116"/>
      <c r="G249" s="117"/>
      <c r="H249" s="118"/>
      <c r="J249" s="119"/>
      <c r="K249" s="35"/>
    </row>
    <row r="250" hidden="1">
      <c r="B250" s="116"/>
      <c r="G250" s="117"/>
      <c r="H250" s="118"/>
      <c r="J250" s="119"/>
      <c r="K250" s="35"/>
    </row>
    <row r="251" hidden="1">
      <c r="B251" s="116"/>
      <c r="G251" s="117"/>
      <c r="H251" s="118"/>
      <c r="J251" s="119"/>
      <c r="K251" s="35"/>
    </row>
    <row r="252" hidden="1">
      <c r="B252" s="116"/>
      <c r="G252" s="117"/>
      <c r="H252" s="118"/>
      <c r="J252" s="119"/>
      <c r="K252" s="35"/>
    </row>
    <row r="253" hidden="1">
      <c r="B253" s="116"/>
      <c r="G253" s="117"/>
      <c r="H253" s="118"/>
      <c r="J253" s="119"/>
      <c r="K253" s="35"/>
    </row>
    <row r="254" hidden="1">
      <c r="B254" s="116"/>
      <c r="G254" s="117"/>
      <c r="H254" s="118"/>
      <c r="J254" s="119"/>
      <c r="K254" s="35"/>
    </row>
    <row r="255" hidden="1">
      <c r="B255" s="116"/>
      <c r="G255" s="117"/>
      <c r="H255" s="118"/>
      <c r="J255" s="119"/>
      <c r="K255" s="35"/>
    </row>
    <row r="256" hidden="1">
      <c r="B256" s="116"/>
      <c r="G256" s="117"/>
      <c r="H256" s="118"/>
      <c r="J256" s="119"/>
      <c r="K256" s="35"/>
    </row>
    <row r="257" hidden="1">
      <c r="B257" s="116"/>
      <c r="G257" s="117"/>
      <c r="H257" s="118"/>
      <c r="J257" s="119"/>
      <c r="K257" s="35"/>
    </row>
    <row r="258" hidden="1">
      <c r="B258" s="116"/>
      <c r="G258" s="117"/>
      <c r="H258" s="118"/>
      <c r="J258" s="119"/>
      <c r="K258" s="35"/>
    </row>
    <row r="259" hidden="1">
      <c r="B259" s="116"/>
      <c r="G259" s="117"/>
      <c r="H259" s="118"/>
      <c r="J259" s="119"/>
      <c r="K259" s="35"/>
    </row>
    <row r="260" hidden="1">
      <c r="B260" s="116"/>
      <c r="G260" s="117"/>
      <c r="H260" s="118"/>
      <c r="J260" s="119"/>
      <c r="K260" s="35"/>
    </row>
    <row r="261" hidden="1">
      <c r="B261" s="116"/>
      <c r="G261" s="117"/>
      <c r="H261" s="118"/>
      <c r="J261" s="119"/>
      <c r="K261" s="35"/>
    </row>
    <row r="262" hidden="1">
      <c r="B262" s="116"/>
      <c r="G262" s="117"/>
      <c r="H262" s="118"/>
      <c r="J262" s="119"/>
      <c r="K262" s="35"/>
    </row>
    <row r="263" hidden="1">
      <c r="B263" s="116"/>
      <c r="G263" s="117"/>
      <c r="H263" s="118"/>
      <c r="J263" s="119"/>
      <c r="K263" s="35"/>
    </row>
    <row r="264" hidden="1">
      <c r="B264" s="116"/>
      <c r="G264" s="117"/>
      <c r="H264" s="118"/>
      <c r="J264" s="119"/>
      <c r="K264" s="35"/>
    </row>
    <row r="265" hidden="1">
      <c r="B265" s="116"/>
      <c r="G265" s="117"/>
      <c r="H265" s="118"/>
      <c r="J265" s="119"/>
      <c r="K265" s="35"/>
    </row>
    <row r="266" hidden="1">
      <c r="B266" s="116"/>
      <c r="G266" s="117"/>
      <c r="H266" s="118"/>
      <c r="J266" s="119"/>
      <c r="K266" s="35"/>
    </row>
    <row r="267" hidden="1">
      <c r="B267" s="116"/>
      <c r="G267" s="117"/>
      <c r="H267" s="118"/>
      <c r="J267" s="119"/>
      <c r="K267" s="35"/>
    </row>
    <row r="268" hidden="1">
      <c r="B268" s="116"/>
      <c r="G268" s="117"/>
      <c r="H268" s="118"/>
      <c r="J268" s="119"/>
      <c r="K268" s="35"/>
    </row>
    <row r="269" hidden="1">
      <c r="B269" s="116"/>
      <c r="G269" s="117"/>
      <c r="H269" s="118"/>
      <c r="J269" s="119"/>
      <c r="K269" s="35"/>
    </row>
    <row r="270" hidden="1">
      <c r="B270" s="116"/>
      <c r="G270" s="117"/>
      <c r="H270" s="118"/>
      <c r="J270" s="119"/>
      <c r="K270" s="35"/>
    </row>
    <row r="271" hidden="1">
      <c r="B271" s="116"/>
      <c r="G271" s="117"/>
      <c r="H271" s="118"/>
      <c r="J271" s="119"/>
      <c r="K271" s="35"/>
    </row>
    <row r="272" hidden="1">
      <c r="B272" s="116"/>
      <c r="G272" s="117"/>
      <c r="H272" s="118"/>
      <c r="J272" s="119"/>
      <c r="K272" s="35"/>
    </row>
    <row r="273" hidden="1">
      <c r="B273" s="116"/>
      <c r="G273" s="117"/>
      <c r="H273" s="118"/>
      <c r="J273" s="119"/>
      <c r="K273" s="35"/>
    </row>
    <row r="274" hidden="1">
      <c r="B274" s="116"/>
      <c r="G274" s="117"/>
      <c r="H274" s="118"/>
      <c r="J274" s="119"/>
      <c r="K274" s="35"/>
    </row>
    <row r="275" hidden="1">
      <c r="B275" s="116"/>
      <c r="G275" s="117"/>
      <c r="H275" s="118"/>
      <c r="J275" s="119"/>
      <c r="K275" s="35"/>
    </row>
    <row r="276" hidden="1">
      <c r="B276" s="116"/>
      <c r="G276" s="117"/>
      <c r="H276" s="118"/>
      <c r="J276" s="119"/>
      <c r="K276" s="35"/>
    </row>
    <row r="277" hidden="1">
      <c r="B277" s="116"/>
      <c r="G277" s="117"/>
      <c r="H277" s="118"/>
      <c r="J277" s="119"/>
      <c r="K277" s="35"/>
    </row>
    <row r="278" hidden="1">
      <c r="B278" s="116"/>
      <c r="G278" s="117"/>
      <c r="H278" s="118"/>
      <c r="J278" s="119"/>
      <c r="K278" s="35"/>
    </row>
    <row r="279" hidden="1">
      <c r="B279" s="116"/>
      <c r="G279" s="117"/>
      <c r="H279" s="118"/>
      <c r="J279" s="119"/>
      <c r="K279" s="35"/>
    </row>
    <row r="280" hidden="1">
      <c r="B280" s="116"/>
      <c r="G280" s="117"/>
      <c r="H280" s="118"/>
      <c r="J280" s="119"/>
      <c r="K280" s="35"/>
    </row>
    <row r="281" hidden="1">
      <c r="B281" s="116"/>
      <c r="G281" s="117"/>
      <c r="H281" s="118"/>
      <c r="J281" s="119"/>
      <c r="K281" s="35"/>
    </row>
    <row r="282" hidden="1">
      <c r="B282" s="116"/>
      <c r="G282" s="117"/>
      <c r="H282" s="118"/>
      <c r="J282" s="119"/>
      <c r="K282" s="35"/>
    </row>
    <row r="283" hidden="1">
      <c r="B283" s="116"/>
      <c r="G283" s="117"/>
      <c r="H283" s="118"/>
      <c r="J283" s="119"/>
      <c r="K283" s="35"/>
    </row>
    <row r="284" hidden="1">
      <c r="B284" s="116"/>
      <c r="G284" s="117"/>
      <c r="H284" s="118"/>
      <c r="J284" s="119"/>
      <c r="K284" s="35"/>
    </row>
    <row r="285" hidden="1">
      <c r="B285" s="116"/>
      <c r="G285" s="117"/>
      <c r="H285" s="118"/>
      <c r="J285" s="119"/>
      <c r="K285" s="35"/>
    </row>
    <row r="286" hidden="1">
      <c r="B286" s="116"/>
      <c r="G286" s="117"/>
      <c r="H286" s="118"/>
      <c r="J286" s="119"/>
      <c r="K286" s="35"/>
    </row>
    <row r="287" hidden="1">
      <c r="B287" s="116"/>
      <c r="G287" s="117"/>
      <c r="H287" s="118"/>
      <c r="J287" s="119"/>
      <c r="K287" s="35"/>
    </row>
    <row r="288" hidden="1">
      <c r="B288" s="116"/>
      <c r="G288" s="117"/>
      <c r="H288" s="118"/>
      <c r="J288" s="119"/>
      <c r="K288" s="35"/>
    </row>
    <row r="289" hidden="1">
      <c r="B289" s="116"/>
      <c r="G289" s="117"/>
      <c r="H289" s="118"/>
      <c r="J289" s="119"/>
      <c r="K289" s="35"/>
    </row>
    <row r="290" hidden="1">
      <c r="B290" s="116"/>
      <c r="G290" s="117"/>
      <c r="H290" s="118"/>
      <c r="J290" s="119"/>
      <c r="K290" s="35"/>
    </row>
    <row r="291" hidden="1">
      <c r="B291" s="116"/>
      <c r="G291" s="117"/>
      <c r="H291" s="118"/>
      <c r="J291" s="119"/>
      <c r="K291" s="35"/>
    </row>
    <row r="292" hidden="1">
      <c r="B292" s="116"/>
      <c r="G292" s="117"/>
      <c r="H292" s="118"/>
      <c r="J292" s="119"/>
      <c r="K292" s="35"/>
    </row>
    <row r="293" hidden="1">
      <c r="B293" s="116"/>
      <c r="G293" s="117"/>
      <c r="H293" s="118"/>
      <c r="J293" s="119"/>
      <c r="K293" s="35"/>
    </row>
    <row r="294" hidden="1">
      <c r="B294" s="116"/>
      <c r="G294" s="117"/>
      <c r="H294" s="118"/>
      <c r="J294" s="119"/>
      <c r="K294" s="35"/>
    </row>
    <row r="295" hidden="1">
      <c r="B295" s="116"/>
      <c r="G295" s="117"/>
      <c r="H295" s="118"/>
      <c r="J295" s="119"/>
      <c r="K295" s="35"/>
    </row>
    <row r="296" hidden="1">
      <c r="B296" s="116"/>
      <c r="G296" s="117"/>
      <c r="H296" s="118"/>
      <c r="J296" s="119"/>
      <c r="K296" s="35"/>
    </row>
    <row r="297" hidden="1">
      <c r="B297" s="116"/>
      <c r="G297" s="117"/>
      <c r="H297" s="118"/>
      <c r="J297" s="119"/>
      <c r="K297" s="35"/>
    </row>
    <row r="298" hidden="1">
      <c r="B298" s="116"/>
      <c r="G298" s="117"/>
      <c r="H298" s="118"/>
      <c r="J298" s="119"/>
      <c r="K298" s="35"/>
    </row>
    <row r="299" hidden="1">
      <c r="B299" s="116"/>
      <c r="G299" s="117"/>
      <c r="H299" s="118"/>
      <c r="J299" s="119"/>
      <c r="K299" s="35"/>
    </row>
    <row r="300" hidden="1">
      <c r="B300" s="116"/>
      <c r="G300" s="117"/>
      <c r="H300" s="118"/>
      <c r="J300" s="119"/>
      <c r="K300" s="35"/>
    </row>
    <row r="301" hidden="1">
      <c r="B301" s="116"/>
      <c r="G301" s="117"/>
      <c r="H301" s="118"/>
      <c r="J301" s="119"/>
      <c r="K301" s="35"/>
    </row>
    <row r="302" hidden="1">
      <c r="B302" s="116"/>
      <c r="G302" s="117"/>
      <c r="H302" s="118"/>
      <c r="J302" s="119"/>
      <c r="K302" s="35"/>
    </row>
    <row r="303" hidden="1">
      <c r="B303" s="116"/>
      <c r="G303" s="117"/>
      <c r="H303" s="118"/>
      <c r="J303" s="119"/>
      <c r="K303" s="35"/>
    </row>
    <row r="304" hidden="1">
      <c r="B304" s="116"/>
      <c r="G304" s="117"/>
      <c r="H304" s="118"/>
      <c r="J304" s="119"/>
      <c r="K304" s="35"/>
    </row>
    <row r="305" hidden="1">
      <c r="B305" s="116"/>
      <c r="G305" s="117"/>
      <c r="H305" s="118"/>
      <c r="J305" s="119"/>
      <c r="K305" s="35"/>
    </row>
    <row r="306" hidden="1">
      <c r="B306" s="116"/>
      <c r="G306" s="117"/>
      <c r="H306" s="118"/>
      <c r="J306" s="119"/>
      <c r="K306" s="35"/>
    </row>
    <row r="307" hidden="1">
      <c r="B307" s="116"/>
      <c r="G307" s="117"/>
      <c r="H307" s="118"/>
      <c r="J307" s="119"/>
      <c r="K307" s="35"/>
    </row>
    <row r="308" hidden="1">
      <c r="B308" s="116"/>
      <c r="G308" s="117"/>
      <c r="H308" s="118"/>
      <c r="J308" s="119"/>
      <c r="K308" s="35"/>
    </row>
    <row r="309" hidden="1">
      <c r="B309" s="116"/>
      <c r="G309" s="117"/>
      <c r="H309" s="118"/>
      <c r="J309" s="119"/>
      <c r="K309" s="35"/>
    </row>
    <row r="310" hidden="1">
      <c r="B310" s="116"/>
      <c r="G310" s="117"/>
      <c r="H310" s="118"/>
      <c r="J310" s="119"/>
      <c r="K310" s="35"/>
    </row>
    <row r="311" hidden="1">
      <c r="B311" s="116"/>
      <c r="G311" s="117"/>
      <c r="H311" s="118"/>
      <c r="J311" s="119"/>
      <c r="K311" s="35"/>
    </row>
    <row r="312" hidden="1">
      <c r="B312" s="116"/>
      <c r="G312" s="117"/>
      <c r="H312" s="118"/>
      <c r="J312" s="119"/>
      <c r="K312" s="35"/>
    </row>
    <row r="313" hidden="1">
      <c r="B313" s="116"/>
      <c r="G313" s="117"/>
      <c r="H313" s="118"/>
      <c r="J313" s="119"/>
      <c r="K313" s="35"/>
    </row>
    <row r="314" hidden="1">
      <c r="B314" s="116"/>
      <c r="G314" s="117"/>
      <c r="H314" s="118"/>
      <c r="J314" s="119"/>
      <c r="K314" s="35"/>
    </row>
    <row r="315" hidden="1">
      <c r="B315" s="116"/>
      <c r="G315" s="117"/>
      <c r="H315" s="118"/>
      <c r="J315" s="119"/>
      <c r="K315" s="35"/>
    </row>
    <row r="316" hidden="1">
      <c r="B316" s="116"/>
      <c r="G316" s="117"/>
      <c r="H316" s="118"/>
      <c r="J316" s="119"/>
      <c r="K316" s="35"/>
    </row>
    <row r="317" hidden="1">
      <c r="B317" s="116"/>
      <c r="G317" s="117"/>
      <c r="H317" s="118"/>
      <c r="J317" s="119"/>
      <c r="K317" s="35"/>
    </row>
    <row r="318" hidden="1">
      <c r="B318" s="116"/>
      <c r="G318" s="117"/>
      <c r="H318" s="118"/>
      <c r="J318" s="119"/>
      <c r="K318" s="35"/>
    </row>
    <row r="319" hidden="1">
      <c r="B319" s="116"/>
      <c r="G319" s="117"/>
      <c r="H319" s="118"/>
      <c r="J319" s="119"/>
      <c r="K319" s="35"/>
    </row>
    <row r="320" hidden="1">
      <c r="B320" s="116"/>
      <c r="G320" s="117"/>
      <c r="H320" s="118"/>
      <c r="J320" s="119"/>
      <c r="K320" s="35"/>
    </row>
    <row r="321" hidden="1">
      <c r="B321" s="116"/>
      <c r="G321" s="117"/>
      <c r="H321" s="118"/>
      <c r="J321" s="119"/>
      <c r="K321" s="35"/>
    </row>
    <row r="322" hidden="1">
      <c r="B322" s="116"/>
      <c r="G322" s="117"/>
      <c r="H322" s="118"/>
      <c r="J322" s="119"/>
      <c r="K322" s="35"/>
    </row>
    <row r="323" hidden="1">
      <c r="B323" s="116"/>
      <c r="G323" s="117"/>
      <c r="H323" s="118"/>
      <c r="J323" s="119"/>
      <c r="K323" s="35"/>
    </row>
    <row r="324" hidden="1">
      <c r="B324" s="116"/>
      <c r="G324" s="117"/>
      <c r="H324" s="118"/>
      <c r="J324" s="119"/>
      <c r="K324" s="35"/>
    </row>
    <row r="325" hidden="1">
      <c r="B325" s="116"/>
      <c r="G325" s="117"/>
      <c r="H325" s="118"/>
      <c r="J325" s="119"/>
      <c r="K325" s="35"/>
    </row>
    <row r="326" hidden="1">
      <c r="B326" s="116"/>
      <c r="G326" s="117"/>
      <c r="H326" s="118"/>
      <c r="J326" s="119"/>
      <c r="K326" s="35"/>
    </row>
    <row r="327" hidden="1">
      <c r="B327" s="116"/>
      <c r="G327" s="117"/>
      <c r="H327" s="118"/>
      <c r="J327" s="119"/>
      <c r="K327" s="35"/>
    </row>
    <row r="328" hidden="1">
      <c r="B328" s="116"/>
      <c r="G328" s="117"/>
      <c r="H328" s="118"/>
      <c r="J328" s="119"/>
      <c r="K328" s="35"/>
    </row>
    <row r="329" hidden="1">
      <c r="B329" s="116"/>
      <c r="G329" s="117"/>
      <c r="H329" s="118"/>
      <c r="J329" s="119"/>
      <c r="K329" s="35"/>
    </row>
    <row r="330" hidden="1">
      <c r="B330" s="116"/>
      <c r="G330" s="117"/>
      <c r="H330" s="118"/>
      <c r="J330" s="119"/>
      <c r="K330" s="35"/>
    </row>
    <row r="331" hidden="1">
      <c r="B331" s="116"/>
      <c r="G331" s="117"/>
      <c r="H331" s="118"/>
      <c r="J331" s="119"/>
      <c r="K331" s="35"/>
    </row>
    <row r="332" hidden="1">
      <c r="B332" s="116"/>
      <c r="G332" s="117"/>
      <c r="H332" s="118"/>
      <c r="J332" s="119"/>
      <c r="K332" s="35"/>
    </row>
    <row r="333" hidden="1">
      <c r="B333" s="116"/>
      <c r="G333" s="117"/>
      <c r="H333" s="118"/>
      <c r="J333" s="119"/>
      <c r="K333" s="35"/>
    </row>
    <row r="334" hidden="1">
      <c r="B334" s="116"/>
      <c r="G334" s="117"/>
      <c r="H334" s="118"/>
      <c r="J334" s="119"/>
      <c r="K334" s="35"/>
    </row>
    <row r="335" hidden="1">
      <c r="B335" s="116"/>
      <c r="G335" s="117"/>
      <c r="H335" s="118"/>
      <c r="J335" s="119"/>
      <c r="K335" s="35"/>
    </row>
    <row r="336" hidden="1">
      <c r="B336" s="116"/>
      <c r="G336" s="117"/>
      <c r="H336" s="118"/>
      <c r="J336" s="119"/>
      <c r="K336" s="35"/>
    </row>
    <row r="337" hidden="1">
      <c r="B337" s="116"/>
      <c r="G337" s="117"/>
      <c r="H337" s="118"/>
      <c r="J337" s="119"/>
      <c r="K337" s="35"/>
    </row>
    <row r="338" hidden="1">
      <c r="B338" s="116"/>
      <c r="G338" s="117"/>
      <c r="H338" s="118"/>
      <c r="J338" s="119"/>
      <c r="K338" s="35"/>
    </row>
    <row r="339" hidden="1">
      <c r="B339" s="116"/>
      <c r="G339" s="117"/>
      <c r="H339" s="118"/>
      <c r="J339" s="119"/>
      <c r="K339" s="35"/>
    </row>
    <row r="340" hidden="1">
      <c r="B340" s="116"/>
      <c r="G340" s="117"/>
      <c r="H340" s="118"/>
      <c r="J340" s="119"/>
      <c r="K340" s="35"/>
    </row>
    <row r="341" hidden="1">
      <c r="B341" s="116"/>
      <c r="G341" s="117"/>
      <c r="H341" s="118"/>
      <c r="J341" s="119"/>
      <c r="K341" s="35"/>
    </row>
    <row r="342" hidden="1">
      <c r="B342" s="116"/>
      <c r="G342" s="117"/>
      <c r="H342" s="118"/>
      <c r="J342" s="119"/>
      <c r="K342" s="35"/>
    </row>
    <row r="343" hidden="1">
      <c r="B343" s="116"/>
      <c r="G343" s="117"/>
      <c r="H343" s="118"/>
      <c r="J343" s="119"/>
      <c r="K343" s="35"/>
    </row>
    <row r="344" hidden="1">
      <c r="B344" s="116"/>
      <c r="G344" s="117"/>
      <c r="H344" s="118"/>
      <c r="J344" s="119"/>
      <c r="K344" s="35"/>
    </row>
    <row r="345" hidden="1">
      <c r="B345" s="116"/>
      <c r="G345" s="117"/>
      <c r="H345" s="118"/>
      <c r="J345" s="119"/>
      <c r="K345" s="35"/>
    </row>
    <row r="346" hidden="1">
      <c r="B346" s="116"/>
      <c r="G346" s="117"/>
      <c r="H346" s="118"/>
      <c r="J346" s="119"/>
      <c r="K346" s="35"/>
    </row>
    <row r="347" hidden="1">
      <c r="B347" s="116"/>
      <c r="G347" s="117"/>
      <c r="H347" s="118"/>
      <c r="J347" s="119"/>
      <c r="K347" s="35"/>
    </row>
    <row r="348" hidden="1">
      <c r="B348" s="116"/>
      <c r="G348" s="117"/>
      <c r="H348" s="118"/>
      <c r="J348" s="119"/>
      <c r="K348" s="35"/>
    </row>
    <row r="349" hidden="1">
      <c r="B349" s="116"/>
      <c r="G349" s="117"/>
      <c r="H349" s="118"/>
      <c r="J349" s="119"/>
      <c r="K349" s="35"/>
    </row>
    <row r="350" hidden="1">
      <c r="B350" s="116"/>
      <c r="G350" s="117"/>
      <c r="H350" s="118"/>
      <c r="J350" s="119"/>
      <c r="K350" s="35"/>
    </row>
    <row r="351" hidden="1">
      <c r="B351" s="116"/>
      <c r="G351" s="117"/>
      <c r="H351" s="118"/>
      <c r="J351" s="119"/>
      <c r="K351" s="35"/>
    </row>
    <row r="352" hidden="1">
      <c r="B352" s="116"/>
      <c r="G352" s="117"/>
      <c r="H352" s="118"/>
      <c r="J352" s="119"/>
      <c r="K352" s="35"/>
    </row>
    <row r="353" hidden="1">
      <c r="B353" s="116"/>
      <c r="G353" s="117"/>
      <c r="H353" s="118"/>
      <c r="J353" s="119"/>
      <c r="K353" s="35"/>
    </row>
    <row r="354" hidden="1">
      <c r="B354" s="116"/>
      <c r="G354" s="117"/>
      <c r="H354" s="118"/>
      <c r="J354" s="119"/>
      <c r="K354" s="35"/>
    </row>
    <row r="355" hidden="1">
      <c r="B355" s="116"/>
      <c r="G355" s="117"/>
      <c r="H355" s="118"/>
      <c r="J355" s="119"/>
      <c r="K355" s="35"/>
    </row>
    <row r="356" hidden="1">
      <c r="B356" s="116"/>
      <c r="G356" s="117"/>
      <c r="H356" s="118"/>
      <c r="J356" s="119"/>
      <c r="K356" s="35"/>
    </row>
    <row r="357" hidden="1">
      <c r="B357" s="116"/>
      <c r="G357" s="117"/>
      <c r="H357" s="118"/>
      <c r="J357" s="119"/>
      <c r="K357" s="35"/>
    </row>
    <row r="358" hidden="1">
      <c r="B358" s="116"/>
      <c r="G358" s="117"/>
      <c r="H358" s="118"/>
      <c r="J358" s="119"/>
      <c r="K358" s="35"/>
    </row>
    <row r="359" hidden="1">
      <c r="B359" s="116"/>
      <c r="G359" s="117"/>
      <c r="H359" s="118"/>
      <c r="J359" s="119"/>
      <c r="K359" s="35"/>
    </row>
    <row r="360" hidden="1">
      <c r="B360" s="116"/>
      <c r="G360" s="117"/>
      <c r="H360" s="118"/>
      <c r="J360" s="119"/>
      <c r="K360" s="35"/>
    </row>
    <row r="361" hidden="1">
      <c r="B361" s="116"/>
      <c r="G361" s="117"/>
      <c r="H361" s="118"/>
      <c r="J361" s="119"/>
      <c r="K361" s="35"/>
    </row>
    <row r="362" hidden="1">
      <c r="B362" s="116"/>
      <c r="G362" s="117"/>
      <c r="H362" s="118"/>
      <c r="J362" s="119"/>
      <c r="K362" s="35"/>
    </row>
    <row r="363" hidden="1">
      <c r="B363" s="116"/>
      <c r="G363" s="117"/>
      <c r="H363" s="118"/>
      <c r="J363" s="119"/>
      <c r="K363" s="35"/>
    </row>
    <row r="364" hidden="1">
      <c r="B364" s="116"/>
      <c r="G364" s="117"/>
      <c r="H364" s="118"/>
      <c r="J364" s="119"/>
      <c r="K364" s="35"/>
    </row>
    <row r="365" hidden="1">
      <c r="B365" s="116"/>
      <c r="G365" s="117"/>
      <c r="H365" s="118"/>
      <c r="J365" s="119"/>
      <c r="K365" s="35"/>
    </row>
    <row r="366" hidden="1">
      <c r="B366" s="116"/>
      <c r="G366" s="117"/>
      <c r="H366" s="118"/>
      <c r="J366" s="119"/>
      <c r="K366" s="35"/>
    </row>
    <row r="367" hidden="1">
      <c r="B367" s="116"/>
      <c r="G367" s="117"/>
      <c r="H367" s="118"/>
      <c r="J367" s="119"/>
      <c r="K367" s="35"/>
    </row>
    <row r="368" hidden="1">
      <c r="B368" s="116"/>
      <c r="G368" s="117"/>
      <c r="H368" s="118"/>
      <c r="J368" s="119"/>
      <c r="K368" s="35"/>
    </row>
    <row r="369" hidden="1">
      <c r="B369" s="116"/>
      <c r="G369" s="117"/>
      <c r="H369" s="118"/>
      <c r="J369" s="119"/>
      <c r="K369" s="35"/>
    </row>
    <row r="370" hidden="1">
      <c r="B370" s="116"/>
      <c r="G370" s="117"/>
      <c r="H370" s="118"/>
      <c r="J370" s="119"/>
      <c r="K370" s="35"/>
    </row>
    <row r="371" hidden="1">
      <c r="B371" s="116"/>
      <c r="G371" s="117"/>
      <c r="H371" s="118"/>
      <c r="J371" s="119"/>
      <c r="K371" s="35"/>
    </row>
    <row r="372" hidden="1">
      <c r="B372" s="116"/>
      <c r="G372" s="117"/>
      <c r="H372" s="118"/>
      <c r="J372" s="119"/>
      <c r="K372" s="35"/>
    </row>
    <row r="373" hidden="1">
      <c r="B373" s="116"/>
      <c r="G373" s="117"/>
      <c r="H373" s="118"/>
      <c r="J373" s="119"/>
      <c r="K373" s="35"/>
    </row>
    <row r="374" hidden="1">
      <c r="B374" s="116"/>
      <c r="G374" s="117"/>
      <c r="H374" s="118"/>
      <c r="J374" s="119"/>
      <c r="K374" s="35"/>
    </row>
    <row r="375" hidden="1">
      <c r="B375" s="116"/>
      <c r="G375" s="117"/>
      <c r="H375" s="118"/>
      <c r="J375" s="119"/>
      <c r="K375" s="35"/>
    </row>
    <row r="376" hidden="1">
      <c r="B376" s="116"/>
      <c r="G376" s="117"/>
      <c r="H376" s="118"/>
      <c r="J376" s="119"/>
      <c r="K376" s="35"/>
    </row>
    <row r="377" hidden="1">
      <c r="B377" s="116"/>
      <c r="G377" s="117"/>
      <c r="H377" s="118"/>
      <c r="J377" s="119"/>
      <c r="K377" s="35"/>
    </row>
    <row r="378" hidden="1">
      <c r="B378" s="116"/>
      <c r="G378" s="117"/>
      <c r="H378" s="118"/>
      <c r="J378" s="119"/>
      <c r="K378" s="35"/>
    </row>
    <row r="379" hidden="1">
      <c r="B379" s="116"/>
      <c r="G379" s="117"/>
      <c r="H379" s="118"/>
      <c r="J379" s="119"/>
      <c r="K379" s="35"/>
    </row>
    <row r="380" hidden="1">
      <c r="B380" s="116"/>
      <c r="G380" s="117"/>
      <c r="H380" s="118"/>
      <c r="J380" s="119"/>
      <c r="K380" s="35"/>
    </row>
    <row r="381" hidden="1">
      <c r="B381" s="116"/>
      <c r="G381" s="117"/>
      <c r="H381" s="118"/>
      <c r="J381" s="119"/>
      <c r="K381" s="35"/>
    </row>
    <row r="382" hidden="1">
      <c r="B382" s="116"/>
      <c r="G382" s="117"/>
      <c r="H382" s="118"/>
      <c r="J382" s="119"/>
      <c r="K382" s="35"/>
    </row>
    <row r="383" hidden="1">
      <c r="B383" s="116"/>
      <c r="G383" s="117"/>
      <c r="H383" s="118"/>
      <c r="J383" s="119"/>
      <c r="K383" s="35"/>
    </row>
    <row r="384" hidden="1">
      <c r="B384" s="116"/>
      <c r="G384" s="117"/>
      <c r="H384" s="118"/>
      <c r="J384" s="119"/>
      <c r="K384" s="35"/>
    </row>
    <row r="385" hidden="1">
      <c r="B385" s="116"/>
      <c r="G385" s="117"/>
      <c r="H385" s="118"/>
      <c r="J385" s="119"/>
      <c r="K385" s="35"/>
    </row>
    <row r="386" hidden="1">
      <c r="B386" s="116"/>
      <c r="G386" s="117"/>
      <c r="H386" s="118"/>
      <c r="J386" s="119"/>
      <c r="K386" s="35"/>
    </row>
    <row r="387" hidden="1">
      <c r="B387" s="116"/>
      <c r="G387" s="117"/>
      <c r="H387" s="118"/>
      <c r="J387" s="119"/>
      <c r="K387" s="35"/>
    </row>
    <row r="388" hidden="1">
      <c r="B388" s="116"/>
      <c r="G388" s="117"/>
      <c r="H388" s="118"/>
      <c r="J388" s="119"/>
      <c r="K388" s="35"/>
    </row>
    <row r="389" hidden="1">
      <c r="B389" s="116"/>
      <c r="G389" s="117"/>
      <c r="H389" s="118"/>
      <c r="J389" s="119"/>
      <c r="K389" s="35"/>
    </row>
    <row r="390" hidden="1">
      <c r="B390" s="116"/>
      <c r="G390" s="117"/>
      <c r="H390" s="118"/>
      <c r="J390" s="119"/>
      <c r="K390" s="35"/>
    </row>
    <row r="391" hidden="1">
      <c r="B391" s="116"/>
      <c r="G391" s="117"/>
      <c r="H391" s="118"/>
      <c r="J391" s="119"/>
      <c r="K391" s="35"/>
    </row>
    <row r="392" hidden="1">
      <c r="B392" s="116"/>
      <c r="G392" s="117"/>
      <c r="H392" s="118"/>
      <c r="J392" s="119"/>
      <c r="K392" s="35"/>
    </row>
    <row r="393" hidden="1">
      <c r="B393" s="116"/>
      <c r="G393" s="117"/>
      <c r="H393" s="118"/>
      <c r="J393" s="119"/>
      <c r="K393" s="35"/>
    </row>
    <row r="394" hidden="1">
      <c r="B394" s="116"/>
      <c r="G394" s="117"/>
      <c r="H394" s="118"/>
      <c r="J394" s="119"/>
      <c r="K394" s="35"/>
    </row>
    <row r="395" hidden="1">
      <c r="B395" s="116"/>
      <c r="G395" s="117"/>
      <c r="H395" s="118"/>
      <c r="J395" s="119"/>
      <c r="K395" s="35"/>
    </row>
    <row r="396" hidden="1">
      <c r="B396" s="116"/>
      <c r="G396" s="117"/>
      <c r="H396" s="118"/>
      <c r="J396" s="119"/>
      <c r="K396" s="35"/>
    </row>
    <row r="397" hidden="1">
      <c r="B397" s="116"/>
      <c r="G397" s="117"/>
      <c r="H397" s="118"/>
      <c r="J397" s="119"/>
      <c r="K397" s="35"/>
    </row>
    <row r="398" hidden="1">
      <c r="B398" s="116"/>
      <c r="G398" s="117"/>
      <c r="H398" s="118"/>
      <c r="J398" s="119"/>
      <c r="K398" s="35"/>
    </row>
    <row r="399" hidden="1">
      <c r="B399" s="116"/>
      <c r="G399" s="117"/>
      <c r="H399" s="118"/>
      <c r="J399" s="119"/>
      <c r="K399" s="35"/>
    </row>
    <row r="400" hidden="1">
      <c r="B400" s="116"/>
      <c r="G400" s="117"/>
      <c r="H400" s="118"/>
      <c r="J400" s="119"/>
      <c r="K400" s="35"/>
    </row>
    <row r="401" hidden="1">
      <c r="B401" s="116"/>
      <c r="G401" s="117"/>
      <c r="H401" s="118"/>
      <c r="J401" s="119"/>
      <c r="K401" s="35"/>
    </row>
    <row r="402" hidden="1">
      <c r="B402" s="116"/>
      <c r="G402" s="117"/>
      <c r="H402" s="118"/>
      <c r="J402" s="119"/>
      <c r="K402" s="35"/>
    </row>
    <row r="403" hidden="1">
      <c r="B403" s="116"/>
      <c r="G403" s="117"/>
      <c r="H403" s="118"/>
      <c r="J403" s="119"/>
      <c r="K403" s="35"/>
    </row>
    <row r="404" hidden="1">
      <c r="B404" s="116"/>
      <c r="G404" s="117"/>
      <c r="H404" s="118"/>
      <c r="J404" s="119"/>
      <c r="K404" s="35"/>
    </row>
    <row r="405" hidden="1">
      <c r="B405" s="116"/>
      <c r="G405" s="117"/>
      <c r="H405" s="118"/>
      <c r="J405" s="119"/>
      <c r="K405" s="35"/>
    </row>
    <row r="406" hidden="1">
      <c r="B406" s="116"/>
      <c r="G406" s="117"/>
      <c r="H406" s="118"/>
      <c r="J406" s="119"/>
      <c r="K406" s="35"/>
    </row>
    <row r="407" hidden="1">
      <c r="B407" s="116"/>
      <c r="G407" s="117"/>
      <c r="H407" s="118"/>
      <c r="J407" s="119"/>
      <c r="K407" s="35"/>
    </row>
    <row r="408" hidden="1">
      <c r="B408" s="116"/>
      <c r="G408" s="117"/>
      <c r="H408" s="118"/>
      <c r="J408" s="119"/>
      <c r="K408" s="35"/>
    </row>
    <row r="409" hidden="1">
      <c r="B409" s="116"/>
      <c r="G409" s="117"/>
      <c r="H409" s="118"/>
      <c r="J409" s="119"/>
      <c r="K409" s="35"/>
    </row>
    <row r="410" hidden="1">
      <c r="B410" s="116"/>
      <c r="G410" s="117"/>
      <c r="H410" s="118"/>
      <c r="J410" s="119"/>
      <c r="K410" s="35"/>
    </row>
    <row r="411" hidden="1">
      <c r="B411" s="116"/>
      <c r="G411" s="117"/>
      <c r="H411" s="118"/>
      <c r="J411" s="119"/>
      <c r="K411" s="35"/>
    </row>
    <row r="412" hidden="1">
      <c r="B412" s="116"/>
      <c r="G412" s="117"/>
      <c r="H412" s="118"/>
      <c r="J412" s="119"/>
      <c r="K412" s="35"/>
    </row>
    <row r="413" hidden="1">
      <c r="B413" s="116"/>
      <c r="G413" s="117"/>
      <c r="H413" s="118"/>
      <c r="J413" s="119"/>
      <c r="K413" s="35"/>
    </row>
    <row r="414" hidden="1">
      <c r="B414" s="116"/>
      <c r="G414" s="117"/>
      <c r="H414" s="118"/>
      <c r="J414" s="119"/>
      <c r="K414" s="35"/>
    </row>
    <row r="415" hidden="1">
      <c r="B415" s="116"/>
      <c r="G415" s="117"/>
      <c r="H415" s="118"/>
      <c r="J415" s="119"/>
      <c r="K415" s="35"/>
    </row>
    <row r="416" hidden="1">
      <c r="B416" s="116"/>
      <c r="G416" s="117"/>
      <c r="H416" s="118"/>
      <c r="J416" s="119"/>
      <c r="K416" s="35"/>
    </row>
    <row r="417" hidden="1">
      <c r="B417" s="116"/>
      <c r="G417" s="117"/>
      <c r="H417" s="118"/>
      <c r="J417" s="119"/>
      <c r="K417" s="35"/>
    </row>
    <row r="418" hidden="1">
      <c r="B418" s="116"/>
      <c r="G418" s="117"/>
      <c r="H418" s="118"/>
      <c r="J418" s="119"/>
      <c r="K418" s="35"/>
    </row>
    <row r="419" hidden="1">
      <c r="B419" s="116"/>
      <c r="G419" s="117"/>
      <c r="H419" s="118"/>
      <c r="J419" s="119"/>
      <c r="K419" s="35"/>
    </row>
    <row r="420" hidden="1">
      <c r="B420" s="116"/>
      <c r="G420" s="117"/>
      <c r="H420" s="118"/>
      <c r="J420" s="119"/>
      <c r="K420" s="35"/>
    </row>
    <row r="421" hidden="1">
      <c r="B421" s="116"/>
      <c r="G421" s="117"/>
      <c r="H421" s="118"/>
      <c r="J421" s="119"/>
      <c r="K421" s="35"/>
    </row>
    <row r="422" hidden="1">
      <c r="B422" s="116"/>
      <c r="G422" s="117"/>
      <c r="H422" s="118"/>
      <c r="J422" s="119"/>
      <c r="K422" s="35"/>
    </row>
    <row r="423" hidden="1">
      <c r="B423" s="116"/>
      <c r="G423" s="117"/>
      <c r="H423" s="118"/>
      <c r="J423" s="119"/>
      <c r="K423" s="35"/>
    </row>
    <row r="424" hidden="1">
      <c r="B424" s="116"/>
      <c r="G424" s="117"/>
      <c r="H424" s="118"/>
      <c r="J424" s="119"/>
      <c r="K424" s="35"/>
    </row>
    <row r="425" hidden="1">
      <c r="B425" s="116"/>
      <c r="G425" s="117"/>
      <c r="H425" s="118"/>
      <c r="J425" s="119"/>
      <c r="K425" s="35"/>
    </row>
    <row r="426" hidden="1">
      <c r="B426" s="116"/>
      <c r="G426" s="117"/>
      <c r="H426" s="118"/>
      <c r="J426" s="119"/>
      <c r="K426" s="35"/>
    </row>
    <row r="427" hidden="1">
      <c r="B427" s="116"/>
      <c r="G427" s="117"/>
      <c r="H427" s="118"/>
      <c r="J427" s="119"/>
      <c r="K427" s="35"/>
    </row>
    <row r="428" hidden="1">
      <c r="B428" s="116"/>
      <c r="G428" s="117"/>
      <c r="H428" s="118"/>
      <c r="J428" s="119"/>
      <c r="K428" s="35"/>
    </row>
    <row r="429" hidden="1">
      <c r="B429" s="116"/>
      <c r="G429" s="117"/>
      <c r="H429" s="118"/>
      <c r="J429" s="119"/>
      <c r="K429" s="35"/>
    </row>
    <row r="430" hidden="1">
      <c r="B430" s="116"/>
      <c r="G430" s="117"/>
      <c r="H430" s="118"/>
      <c r="J430" s="119"/>
      <c r="K430" s="35"/>
    </row>
    <row r="431" hidden="1">
      <c r="B431" s="116"/>
      <c r="G431" s="117"/>
      <c r="H431" s="118"/>
      <c r="J431" s="119"/>
      <c r="K431" s="35"/>
    </row>
    <row r="432" hidden="1">
      <c r="B432" s="116"/>
      <c r="G432" s="117"/>
      <c r="H432" s="118"/>
      <c r="J432" s="119"/>
      <c r="K432" s="35"/>
    </row>
    <row r="433" hidden="1">
      <c r="B433" s="116"/>
      <c r="G433" s="117"/>
      <c r="H433" s="118"/>
      <c r="J433" s="119"/>
      <c r="K433" s="35"/>
    </row>
    <row r="434" hidden="1">
      <c r="B434" s="116"/>
      <c r="G434" s="117"/>
      <c r="H434" s="118"/>
      <c r="J434" s="119"/>
      <c r="K434" s="35"/>
    </row>
    <row r="435" hidden="1">
      <c r="B435" s="116"/>
      <c r="G435" s="117"/>
      <c r="H435" s="118"/>
      <c r="J435" s="119"/>
      <c r="K435" s="35"/>
    </row>
    <row r="436" hidden="1">
      <c r="B436" s="116"/>
      <c r="G436" s="117"/>
      <c r="H436" s="118"/>
      <c r="J436" s="119"/>
      <c r="K436" s="35"/>
    </row>
    <row r="437" hidden="1">
      <c r="B437" s="116"/>
      <c r="G437" s="117"/>
      <c r="H437" s="118"/>
      <c r="J437" s="119"/>
      <c r="K437" s="35"/>
    </row>
    <row r="438" hidden="1">
      <c r="B438" s="116"/>
      <c r="G438" s="117"/>
      <c r="H438" s="118"/>
      <c r="J438" s="119"/>
      <c r="K438" s="35"/>
    </row>
    <row r="439" hidden="1">
      <c r="B439" s="116"/>
      <c r="G439" s="117"/>
      <c r="H439" s="118"/>
      <c r="J439" s="119"/>
      <c r="K439" s="35"/>
    </row>
    <row r="440" hidden="1">
      <c r="B440" s="116"/>
      <c r="G440" s="117"/>
      <c r="H440" s="118"/>
      <c r="J440" s="119"/>
      <c r="K440" s="35"/>
    </row>
    <row r="441" hidden="1">
      <c r="B441" s="116"/>
      <c r="G441" s="117"/>
      <c r="H441" s="118"/>
      <c r="J441" s="119"/>
      <c r="K441" s="35"/>
    </row>
    <row r="442" hidden="1">
      <c r="B442" s="116"/>
      <c r="G442" s="117"/>
      <c r="H442" s="118"/>
      <c r="J442" s="119"/>
      <c r="K442" s="35"/>
    </row>
    <row r="443" hidden="1">
      <c r="B443" s="116"/>
      <c r="G443" s="117"/>
      <c r="H443" s="118"/>
      <c r="J443" s="119"/>
      <c r="K443" s="35"/>
    </row>
    <row r="444" hidden="1">
      <c r="B444" s="116"/>
      <c r="G444" s="117"/>
      <c r="H444" s="118"/>
      <c r="J444" s="119"/>
      <c r="K444" s="35"/>
    </row>
    <row r="445" hidden="1">
      <c r="B445" s="116"/>
      <c r="G445" s="117"/>
      <c r="H445" s="118"/>
      <c r="J445" s="119"/>
      <c r="K445" s="35"/>
    </row>
    <row r="446" hidden="1">
      <c r="B446" s="116"/>
      <c r="G446" s="117"/>
      <c r="H446" s="118"/>
      <c r="J446" s="119"/>
      <c r="K446" s="35"/>
    </row>
    <row r="447" hidden="1">
      <c r="B447" s="116"/>
      <c r="G447" s="117"/>
      <c r="H447" s="118"/>
      <c r="J447" s="119"/>
      <c r="K447" s="35"/>
    </row>
    <row r="448" hidden="1">
      <c r="B448" s="116"/>
      <c r="G448" s="117"/>
      <c r="H448" s="118"/>
      <c r="J448" s="119"/>
      <c r="K448" s="35"/>
    </row>
    <row r="449" hidden="1">
      <c r="B449" s="116"/>
      <c r="G449" s="117"/>
      <c r="H449" s="118"/>
      <c r="J449" s="119"/>
      <c r="K449" s="35"/>
    </row>
    <row r="450" hidden="1">
      <c r="B450" s="116"/>
      <c r="G450" s="117"/>
      <c r="H450" s="118"/>
      <c r="J450" s="119"/>
      <c r="K450" s="35"/>
    </row>
    <row r="451" hidden="1">
      <c r="B451" s="116"/>
      <c r="G451" s="117"/>
      <c r="H451" s="118"/>
      <c r="J451" s="119"/>
      <c r="K451" s="35"/>
    </row>
    <row r="452" hidden="1">
      <c r="B452" s="116"/>
      <c r="G452" s="117"/>
      <c r="H452" s="118"/>
      <c r="J452" s="119"/>
      <c r="K452" s="35"/>
    </row>
    <row r="453" hidden="1">
      <c r="B453" s="116"/>
      <c r="G453" s="117"/>
      <c r="H453" s="118"/>
      <c r="J453" s="119"/>
      <c r="K453" s="35"/>
    </row>
    <row r="454" hidden="1">
      <c r="B454" s="116"/>
      <c r="G454" s="117"/>
      <c r="H454" s="118"/>
      <c r="J454" s="119"/>
      <c r="K454" s="35"/>
    </row>
    <row r="455" hidden="1">
      <c r="B455" s="116"/>
      <c r="G455" s="117"/>
      <c r="H455" s="118"/>
      <c r="J455" s="119"/>
      <c r="K455" s="35"/>
    </row>
    <row r="456" hidden="1">
      <c r="B456" s="116"/>
      <c r="G456" s="117"/>
      <c r="H456" s="118"/>
      <c r="J456" s="119"/>
      <c r="K456" s="35"/>
    </row>
    <row r="457" hidden="1">
      <c r="B457" s="116"/>
      <c r="G457" s="117"/>
      <c r="H457" s="118"/>
      <c r="J457" s="119"/>
      <c r="K457" s="35"/>
    </row>
    <row r="458" hidden="1">
      <c r="B458" s="116"/>
      <c r="G458" s="117"/>
      <c r="H458" s="118"/>
      <c r="J458" s="119"/>
      <c r="K458" s="35"/>
    </row>
    <row r="459" hidden="1">
      <c r="B459" s="116"/>
      <c r="G459" s="117"/>
      <c r="H459" s="118"/>
      <c r="J459" s="119"/>
      <c r="K459" s="35"/>
    </row>
    <row r="460" hidden="1">
      <c r="B460" s="116"/>
      <c r="G460" s="117"/>
      <c r="H460" s="118"/>
      <c r="J460" s="119"/>
      <c r="K460" s="35"/>
    </row>
    <row r="461" hidden="1">
      <c r="B461" s="116"/>
      <c r="G461" s="117"/>
      <c r="H461" s="118"/>
      <c r="J461" s="119"/>
      <c r="K461" s="35"/>
    </row>
    <row r="462" hidden="1">
      <c r="B462" s="116"/>
      <c r="G462" s="117"/>
      <c r="H462" s="118"/>
      <c r="J462" s="119"/>
      <c r="K462" s="35"/>
    </row>
    <row r="463" hidden="1">
      <c r="B463" s="116"/>
      <c r="G463" s="117"/>
      <c r="H463" s="118"/>
      <c r="J463" s="119"/>
      <c r="K463" s="35"/>
    </row>
    <row r="464" hidden="1">
      <c r="B464" s="116"/>
      <c r="G464" s="117"/>
      <c r="H464" s="118"/>
      <c r="J464" s="119"/>
      <c r="K464" s="35"/>
    </row>
    <row r="465" hidden="1">
      <c r="B465" s="116"/>
      <c r="G465" s="117"/>
      <c r="H465" s="118"/>
      <c r="J465" s="119"/>
      <c r="K465" s="35"/>
    </row>
    <row r="466" hidden="1">
      <c r="B466" s="116"/>
      <c r="G466" s="117"/>
      <c r="H466" s="118"/>
      <c r="J466" s="119"/>
      <c r="K466" s="35"/>
    </row>
    <row r="467" hidden="1">
      <c r="B467" s="116"/>
      <c r="G467" s="117"/>
      <c r="H467" s="118"/>
      <c r="J467" s="119"/>
      <c r="K467" s="35"/>
    </row>
    <row r="468" hidden="1">
      <c r="B468" s="116"/>
      <c r="G468" s="117"/>
      <c r="H468" s="118"/>
      <c r="J468" s="119"/>
      <c r="K468" s="35"/>
    </row>
    <row r="469" hidden="1">
      <c r="B469" s="116"/>
      <c r="G469" s="117"/>
      <c r="H469" s="118"/>
      <c r="J469" s="119"/>
      <c r="K469" s="35"/>
    </row>
    <row r="470" hidden="1">
      <c r="B470" s="116"/>
      <c r="G470" s="117"/>
      <c r="H470" s="118"/>
      <c r="J470" s="119"/>
      <c r="K470" s="35"/>
    </row>
    <row r="471" hidden="1">
      <c r="B471" s="116"/>
      <c r="G471" s="117"/>
      <c r="H471" s="118"/>
      <c r="J471" s="119"/>
      <c r="K471" s="35"/>
    </row>
    <row r="472" hidden="1">
      <c r="B472" s="116"/>
      <c r="G472" s="117"/>
      <c r="H472" s="118"/>
      <c r="J472" s="119"/>
      <c r="K472" s="35"/>
    </row>
    <row r="473" hidden="1">
      <c r="B473" s="116"/>
      <c r="G473" s="117"/>
      <c r="H473" s="118"/>
      <c r="J473" s="119"/>
      <c r="K473" s="35"/>
    </row>
    <row r="474" hidden="1">
      <c r="B474" s="116"/>
      <c r="G474" s="117"/>
      <c r="H474" s="118"/>
      <c r="J474" s="119"/>
      <c r="K474" s="35"/>
    </row>
    <row r="475" hidden="1">
      <c r="B475" s="116"/>
      <c r="G475" s="117"/>
      <c r="H475" s="118"/>
      <c r="J475" s="119"/>
      <c r="K475" s="35"/>
    </row>
    <row r="476" hidden="1">
      <c r="B476" s="116"/>
      <c r="G476" s="117"/>
      <c r="H476" s="118"/>
      <c r="J476" s="119"/>
      <c r="K476" s="35"/>
    </row>
    <row r="477" hidden="1">
      <c r="B477" s="116"/>
      <c r="G477" s="117"/>
      <c r="H477" s="118"/>
      <c r="J477" s="119"/>
      <c r="K477" s="35"/>
    </row>
    <row r="478" hidden="1">
      <c r="B478" s="116"/>
      <c r="G478" s="117"/>
      <c r="H478" s="118"/>
      <c r="J478" s="119"/>
      <c r="K478" s="35"/>
    </row>
    <row r="479" hidden="1">
      <c r="B479" s="116"/>
      <c r="G479" s="117"/>
      <c r="H479" s="118"/>
      <c r="J479" s="119"/>
      <c r="K479" s="35"/>
    </row>
    <row r="480" hidden="1">
      <c r="B480" s="116"/>
      <c r="G480" s="117"/>
      <c r="H480" s="118"/>
      <c r="J480" s="119"/>
      <c r="K480" s="35"/>
    </row>
    <row r="481" hidden="1">
      <c r="B481" s="116"/>
      <c r="G481" s="117"/>
      <c r="H481" s="118"/>
      <c r="J481" s="119"/>
      <c r="K481" s="35"/>
    </row>
    <row r="482" hidden="1">
      <c r="B482" s="116"/>
      <c r="G482" s="117"/>
      <c r="H482" s="118"/>
      <c r="J482" s="119"/>
      <c r="K482" s="35"/>
    </row>
    <row r="483" hidden="1">
      <c r="B483" s="116"/>
      <c r="G483" s="117"/>
      <c r="H483" s="118"/>
      <c r="J483" s="119"/>
      <c r="K483" s="35"/>
    </row>
    <row r="484" hidden="1">
      <c r="B484" s="116"/>
      <c r="G484" s="117"/>
      <c r="H484" s="118"/>
      <c r="J484" s="119"/>
      <c r="K484" s="35"/>
    </row>
    <row r="485" hidden="1">
      <c r="B485" s="116"/>
      <c r="G485" s="117"/>
      <c r="H485" s="118"/>
      <c r="J485" s="119"/>
      <c r="K485" s="35"/>
    </row>
    <row r="486" hidden="1">
      <c r="B486" s="116"/>
      <c r="G486" s="117"/>
      <c r="H486" s="118"/>
      <c r="J486" s="119"/>
      <c r="K486" s="35"/>
    </row>
    <row r="487" hidden="1">
      <c r="B487" s="116"/>
      <c r="G487" s="117"/>
      <c r="H487" s="118"/>
      <c r="J487" s="119"/>
      <c r="K487" s="35"/>
    </row>
    <row r="488" hidden="1">
      <c r="B488" s="116"/>
      <c r="G488" s="117"/>
      <c r="H488" s="118"/>
      <c r="J488" s="119"/>
      <c r="K488" s="35"/>
    </row>
    <row r="489" hidden="1">
      <c r="B489" s="116"/>
      <c r="G489" s="117"/>
      <c r="H489" s="118"/>
      <c r="J489" s="119"/>
      <c r="K489" s="35"/>
    </row>
    <row r="490" hidden="1">
      <c r="B490" s="116"/>
      <c r="G490" s="117"/>
      <c r="H490" s="118"/>
      <c r="J490" s="119"/>
      <c r="K490" s="35"/>
    </row>
    <row r="491" hidden="1">
      <c r="B491" s="116"/>
      <c r="G491" s="117"/>
      <c r="H491" s="118"/>
      <c r="J491" s="119"/>
      <c r="K491" s="35"/>
    </row>
    <row r="492" hidden="1">
      <c r="B492" s="116"/>
      <c r="G492" s="117"/>
      <c r="H492" s="118"/>
      <c r="J492" s="119"/>
      <c r="K492" s="35"/>
    </row>
    <row r="493" hidden="1">
      <c r="B493" s="116"/>
      <c r="G493" s="117"/>
      <c r="H493" s="118"/>
      <c r="J493" s="119"/>
      <c r="K493" s="35"/>
    </row>
    <row r="494" hidden="1">
      <c r="B494" s="116"/>
      <c r="G494" s="117"/>
      <c r="H494" s="118"/>
      <c r="J494" s="119"/>
      <c r="K494" s="35"/>
    </row>
    <row r="495" hidden="1">
      <c r="B495" s="116"/>
      <c r="G495" s="117"/>
      <c r="H495" s="118"/>
      <c r="J495" s="119"/>
      <c r="K495" s="35"/>
    </row>
    <row r="496" hidden="1">
      <c r="B496" s="116"/>
      <c r="G496" s="117"/>
      <c r="H496" s="118"/>
      <c r="J496" s="119"/>
      <c r="K496" s="35"/>
    </row>
    <row r="497" hidden="1">
      <c r="B497" s="116"/>
      <c r="G497" s="117"/>
      <c r="H497" s="118"/>
      <c r="J497" s="119"/>
      <c r="K497" s="35"/>
    </row>
    <row r="498" hidden="1">
      <c r="B498" s="116"/>
      <c r="G498" s="117"/>
      <c r="H498" s="118"/>
      <c r="J498" s="119"/>
      <c r="K498" s="35"/>
    </row>
    <row r="499" hidden="1">
      <c r="B499" s="116"/>
      <c r="G499" s="117"/>
      <c r="H499" s="118"/>
      <c r="J499" s="119"/>
      <c r="K499" s="35"/>
    </row>
    <row r="500" hidden="1">
      <c r="B500" s="116"/>
      <c r="G500" s="117"/>
      <c r="H500" s="118"/>
      <c r="J500" s="119"/>
      <c r="K500" s="35"/>
    </row>
    <row r="501" hidden="1">
      <c r="B501" s="116"/>
      <c r="G501" s="117"/>
      <c r="H501" s="118"/>
      <c r="J501" s="119"/>
      <c r="K501" s="35"/>
    </row>
    <row r="502" hidden="1">
      <c r="B502" s="116"/>
      <c r="G502" s="117"/>
      <c r="H502" s="118"/>
      <c r="J502" s="119"/>
      <c r="K502" s="35"/>
    </row>
    <row r="503" hidden="1">
      <c r="B503" s="116"/>
      <c r="G503" s="117"/>
      <c r="H503" s="118"/>
      <c r="J503" s="119"/>
      <c r="K503" s="35"/>
    </row>
    <row r="504" hidden="1">
      <c r="B504" s="116"/>
      <c r="G504" s="117"/>
      <c r="H504" s="118"/>
      <c r="J504" s="119"/>
      <c r="K504" s="35"/>
    </row>
    <row r="505" hidden="1">
      <c r="B505" s="116"/>
      <c r="G505" s="117"/>
      <c r="H505" s="118"/>
      <c r="J505" s="119"/>
      <c r="K505" s="35"/>
    </row>
    <row r="506" hidden="1">
      <c r="B506" s="116"/>
      <c r="G506" s="117"/>
      <c r="H506" s="118"/>
      <c r="J506" s="119"/>
      <c r="K506" s="35"/>
    </row>
    <row r="507" hidden="1">
      <c r="B507" s="116"/>
      <c r="G507" s="117"/>
      <c r="H507" s="118"/>
      <c r="J507" s="119"/>
      <c r="K507" s="35"/>
    </row>
    <row r="508" hidden="1">
      <c r="B508" s="116"/>
      <c r="G508" s="117"/>
      <c r="H508" s="118"/>
      <c r="J508" s="119"/>
      <c r="K508" s="35"/>
    </row>
    <row r="509" hidden="1">
      <c r="B509" s="116"/>
      <c r="G509" s="117"/>
      <c r="H509" s="118"/>
      <c r="J509" s="119"/>
      <c r="K509" s="35"/>
    </row>
    <row r="510" hidden="1">
      <c r="B510" s="116"/>
      <c r="G510" s="117"/>
      <c r="H510" s="118"/>
      <c r="J510" s="119"/>
      <c r="K510" s="35"/>
    </row>
    <row r="511" hidden="1">
      <c r="B511" s="116"/>
      <c r="G511" s="117"/>
      <c r="H511" s="118"/>
      <c r="J511" s="119"/>
      <c r="K511" s="35"/>
    </row>
    <row r="512" hidden="1">
      <c r="B512" s="116"/>
      <c r="G512" s="117"/>
      <c r="H512" s="118"/>
      <c r="J512" s="119"/>
      <c r="K512" s="35"/>
    </row>
    <row r="513" hidden="1">
      <c r="B513" s="116"/>
      <c r="G513" s="117"/>
      <c r="H513" s="118"/>
      <c r="J513" s="119"/>
      <c r="K513" s="35"/>
    </row>
    <row r="514" hidden="1">
      <c r="B514" s="116"/>
      <c r="G514" s="117"/>
      <c r="H514" s="118"/>
      <c r="J514" s="119"/>
      <c r="K514" s="35"/>
    </row>
    <row r="515" hidden="1">
      <c r="B515" s="116"/>
      <c r="G515" s="117"/>
      <c r="H515" s="118"/>
      <c r="J515" s="119"/>
      <c r="K515" s="35"/>
    </row>
    <row r="516" hidden="1">
      <c r="B516" s="116"/>
      <c r="G516" s="117"/>
      <c r="H516" s="118"/>
      <c r="J516" s="119"/>
      <c r="K516" s="35"/>
    </row>
    <row r="517" hidden="1">
      <c r="B517" s="116"/>
      <c r="G517" s="117"/>
      <c r="H517" s="118"/>
      <c r="J517" s="119"/>
      <c r="K517" s="35"/>
    </row>
    <row r="518" hidden="1">
      <c r="B518" s="116"/>
      <c r="G518" s="117"/>
      <c r="H518" s="118"/>
      <c r="J518" s="119"/>
      <c r="K518" s="35"/>
    </row>
    <row r="519" hidden="1">
      <c r="B519" s="116"/>
      <c r="G519" s="117"/>
      <c r="H519" s="118"/>
      <c r="J519" s="119"/>
      <c r="K519" s="35"/>
    </row>
    <row r="520" hidden="1">
      <c r="B520" s="116"/>
      <c r="G520" s="117"/>
      <c r="H520" s="118"/>
      <c r="J520" s="119"/>
      <c r="K520" s="35"/>
    </row>
    <row r="521" hidden="1">
      <c r="B521" s="116"/>
      <c r="G521" s="117"/>
      <c r="H521" s="118"/>
      <c r="J521" s="119"/>
      <c r="K521" s="35"/>
    </row>
    <row r="522" hidden="1">
      <c r="B522" s="116"/>
      <c r="G522" s="117"/>
      <c r="H522" s="118"/>
      <c r="J522" s="119"/>
      <c r="K522" s="35"/>
    </row>
    <row r="523" hidden="1">
      <c r="B523" s="116"/>
      <c r="G523" s="117"/>
      <c r="H523" s="118"/>
      <c r="J523" s="119"/>
      <c r="K523" s="35"/>
    </row>
    <row r="524" hidden="1">
      <c r="B524" s="116"/>
      <c r="G524" s="117"/>
      <c r="H524" s="118"/>
      <c r="J524" s="119"/>
      <c r="K524" s="35"/>
    </row>
    <row r="525" hidden="1">
      <c r="B525" s="116"/>
      <c r="G525" s="117"/>
      <c r="H525" s="118"/>
      <c r="J525" s="119"/>
      <c r="K525" s="35"/>
    </row>
    <row r="526" hidden="1">
      <c r="B526" s="116"/>
      <c r="G526" s="117"/>
      <c r="H526" s="118"/>
      <c r="J526" s="119"/>
      <c r="K526" s="35"/>
    </row>
    <row r="527" hidden="1">
      <c r="B527" s="116"/>
      <c r="G527" s="117"/>
      <c r="H527" s="118"/>
      <c r="J527" s="119"/>
      <c r="K527" s="35"/>
    </row>
    <row r="528" hidden="1">
      <c r="B528" s="116"/>
      <c r="G528" s="117"/>
      <c r="H528" s="118"/>
      <c r="J528" s="119"/>
      <c r="K528" s="35"/>
    </row>
    <row r="529" hidden="1">
      <c r="B529" s="116"/>
      <c r="G529" s="117"/>
      <c r="H529" s="118"/>
      <c r="J529" s="119"/>
      <c r="K529" s="35"/>
    </row>
    <row r="530" hidden="1">
      <c r="B530" s="116"/>
      <c r="G530" s="117"/>
      <c r="H530" s="118"/>
      <c r="J530" s="119"/>
      <c r="K530" s="35"/>
    </row>
    <row r="531" hidden="1">
      <c r="B531" s="116"/>
      <c r="G531" s="117"/>
      <c r="H531" s="118"/>
      <c r="J531" s="119"/>
      <c r="K531" s="35"/>
    </row>
    <row r="532" hidden="1">
      <c r="B532" s="116"/>
      <c r="G532" s="117"/>
      <c r="H532" s="118"/>
      <c r="J532" s="119"/>
      <c r="K532" s="35"/>
    </row>
    <row r="533" hidden="1">
      <c r="B533" s="116"/>
      <c r="G533" s="117"/>
      <c r="H533" s="118"/>
      <c r="J533" s="119"/>
      <c r="K533" s="35"/>
    </row>
    <row r="534" hidden="1">
      <c r="B534" s="116"/>
      <c r="G534" s="117"/>
      <c r="H534" s="118"/>
      <c r="J534" s="119"/>
      <c r="K534" s="35"/>
    </row>
    <row r="535" hidden="1">
      <c r="B535" s="116"/>
      <c r="G535" s="117"/>
      <c r="H535" s="118"/>
      <c r="J535" s="119"/>
      <c r="K535" s="35"/>
    </row>
    <row r="536" hidden="1">
      <c r="B536" s="116"/>
      <c r="G536" s="117"/>
      <c r="H536" s="118"/>
      <c r="J536" s="119"/>
      <c r="K536" s="35"/>
    </row>
    <row r="537" hidden="1">
      <c r="B537" s="116"/>
      <c r="G537" s="117"/>
      <c r="H537" s="118"/>
      <c r="J537" s="119"/>
      <c r="K537" s="35"/>
    </row>
    <row r="538" hidden="1">
      <c r="B538" s="116"/>
      <c r="G538" s="117"/>
      <c r="H538" s="118"/>
      <c r="J538" s="119"/>
      <c r="K538" s="35"/>
    </row>
    <row r="539" hidden="1">
      <c r="B539" s="116"/>
      <c r="G539" s="117"/>
      <c r="H539" s="118"/>
      <c r="J539" s="119"/>
      <c r="K539" s="35"/>
    </row>
    <row r="540" hidden="1">
      <c r="B540" s="116"/>
      <c r="G540" s="117"/>
      <c r="H540" s="118"/>
      <c r="J540" s="119"/>
      <c r="K540" s="35"/>
    </row>
    <row r="541" hidden="1">
      <c r="B541" s="116"/>
      <c r="G541" s="117"/>
      <c r="H541" s="118"/>
      <c r="J541" s="119"/>
      <c r="K541" s="35"/>
    </row>
    <row r="542" hidden="1">
      <c r="B542" s="116"/>
      <c r="G542" s="117"/>
      <c r="H542" s="118"/>
      <c r="J542" s="119"/>
      <c r="K542" s="35"/>
    </row>
    <row r="543" hidden="1">
      <c r="B543" s="116"/>
      <c r="G543" s="117"/>
      <c r="H543" s="118"/>
      <c r="J543" s="119"/>
      <c r="K543" s="35"/>
    </row>
    <row r="544" hidden="1">
      <c r="B544" s="116"/>
      <c r="G544" s="117"/>
      <c r="H544" s="118"/>
      <c r="J544" s="119"/>
      <c r="K544" s="35"/>
    </row>
    <row r="545" hidden="1">
      <c r="B545" s="116"/>
      <c r="G545" s="117"/>
      <c r="H545" s="118"/>
      <c r="J545" s="119"/>
      <c r="K545" s="35"/>
    </row>
    <row r="546" hidden="1">
      <c r="B546" s="116"/>
      <c r="G546" s="117"/>
      <c r="H546" s="118"/>
      <c r="J546" s="119"/>
      <c r="K546" s="35"/>
    </row>
    <row r="547" hidden="1">
      <c r="B547" s="116"/>
      <c r="G547" s="117"/>
      <c r="H547" s="118"/>
      <c r="J547" s="119"/>
      <c r="K547" s="35"/>
    </row>
    <row r="548" hidden="1">
      <c r="B548" s="116"/>
      <c r="G548" s="117"/>
      <c r="H548" s="118"/>
      <c r="J548" s="119"/>
      <c r="K548" s="35"/>
    </row>
    <row r="549" hidden="1">
      <c r="B549" s="116"/>
      <c r="G549" s="117"/>
      <c r="H549" s="118"/>
      <c r="J549" s="119"/>
      <c r="K549" s="35"/>
    </row>
    <row r="550" hidden="1">
      <c r="B550" s="116"/>
      <c r="G550" s="117"/>
      <c r="H550" s="118"/>
      <c r="J550" s="119"/>
      <c r="K550" s="35"/>
    </row>
    <row r="551" hidden="1">
      <c r="B551" s="116"/>
      <c r="G551" s="117"/>
      <c r="H551" s="118"/>
      <c r="J551" s="119"/>
      <c r="K551" s="35"/>
    </row>
    <row r="552" hidden="1">
      <c r="B552" s="116"/>
      <c r="G552" s="117"/>
      <c r="H552" s="118"/>
      <c r="J552" s="119"/>
      <c r="K552" s="35"/>
    </row>
    <row r="553" hidden="1">
      <c r="B553" s="116"/>
      <c r="G553" s="117"/>
      <c r="H553" s="118"/>
      <c r="J553" s="119"/>
      <c r="K553" s="35"/>
    </row>
    <row r="554" hidden="1">
      <c r="B554" s="116"/>
      <c r="G554" s="117"/>
      <c r="H554" s="118"/>
      <c r="J554" s="119"/>
      <c r="K554" s="35"/>
    </row>
    <row r="555" hidden="1">
      <c r="B555" s="116"/>
      <c r="G555" s="117"/>
      <c r="H555" s="118"/>
      <c r="J555" s="119"/>
      <c r="K555" s="35"/>
    </row>
    <row r="556" hidden="1">
      <c r="B556" s="116"/>
      <c r="G556" s="117"/>
      <c r="H556" s="118"/>
      <c r="J556" s="119"/>
      <c r="K556" s="35"/>
    </row>
    <row r="557" hidden="1">
      <c r="B557" s="116"/>
      <c r="G557" s="117"/>
      <c r="H557" s="118"/>
      <c r="J557" s="119"/>
      <c r="K557" s="35"/>
    </row>
    <row r="558" hidden="1">
      <c r="B558" s="116"/>
      <c r="G558" s="117"/>
      <c r="H558" s="118"/>
      <c r="J558" s="119"/>
      <c r="K558" s="35"/>
    </row>
    <row r="559" hidden="1">
      <c r="B559" s="116"/>
      <c r="G559" s="117"/>
      <c r="H559" s="118"/>
      <c r="J559" s="119"/>
      <c r="K559" s="35"/>
    </row>
    <row r="560" hidden="1">
      <c r="B560" s="116"/>
      <c r="G560" s="117"/>
      <c r="H560" s="118"/>
      <c r="J560" s="119"/>
      <c r="K560" s="35"/>
    </row>
    <row r="561" hidden="1">
      <c r="B561" s="116"/>
      <c r="G561" s="117"/>
      <c r="H561" s="118"/>
      <c r="J561" s="119"/>
      <c r="K561" s="35"/>
    </row>
    <row r="562" hidden="1">
      <c r="B562" s="116"/>
      <c r="G562" s="117"/>
      <c r="H562" s="118"/>
      <c r="J562" s="119"/>
      <c r="K562" s="35"/>
    </row>
    <row r="563" hidden="1">
      <c r="B563" s="116"/>
      <c r="G563" s="117"/>
      <c r="H563" s="118"/>
      <c r="J563" s="119"/>
      <c r="K563" s="35"/>
    </row>
    <row r="564" hidden="1">
      <c r="B564" s="116"/>
      <c r="G564" s="117"/>
      <c r="H564" s="118"/>
      <c r="J564" s="119"/>
      <c r="K564" s="35"/>
    </row>
    <row r="565" hidden="1">
      <c r="B565" s="116"/>
      <c r="G565" s="117"/>
      <c r="H565" s="118"/>
      <c r="J565" s="119"/>
      <c r="K565" s="35"/>
    </row>
    <row r="566" hidden="1">
      <c r="B566" s="116"/>
      <c r="G566" s="117"/>
      <c r="H566" s="118"/>
      <c r="J566" s="119"/>
      <c r="K566" s="35"/>
    </row>
    <row r="567" hidden="1">
      <c r="B567" s="116"/>
      <c r="G567" s="117"/>
      <c r="H567" s="118"/>
      <c r="J567" s="119"/>
      <c r="K567" s="35"/>
    </row>
    <row r="568" hidden="1">
      <c r="B568" s="116"/>
      <c r="G568" s="117"/>
      <c r="H568" s="118"/>
      <c r="J568" s="119"/>
      <c r="K568" s="35"/>
    </row>
    <row r="569" hidden="1">
      <c r="B569" s="116"/>
      <c r="G569" s="117"/>
      <c r="H569" s="118"/>
      <c r="J569" s="119"/>
      <c r="K569" s="35"/>
    </row>
    <row r="570" hidden="1">
      <c r="B570" s="116"/>
      <c r="G570" s="117"/>
      <c r="H570" s="118"/>
      <c r="J570" s="119"/>
      <c r="K570" s="35"/>
    </row>
    <row r="571" hidden="1">
      <c r="B571" s="116"/>
      <c r="G571" s="117"/>
      <c r="H571" s="118"/>
      <c r="J571" s="119"/>
      <c r="K571" s="35"/>
    </row>
    <row r="572" hidden="1">
      <c r="B572" s="116"/>
      <c r="G572" s="117"/>
      <c r="H572" s="118"/>
      <c r="J572" s="119"/>
      <c r="K572" s="35"/>
    </row>
    <row r="573" hidden="1">
      <c r="B573" s="116"/>
      <c r="G573" s="117"/>
      <c r="H573" s="118"/>
      <c r="J573" s="119"/>
      <c r="K573" s="35"/>
    </row>
    <row r="574" hidden="1">
      <c r="B574" s="116"/>
      <c r="G574" s="117"/>
      <c r="H574" s="118"/>
      <c r="J574" s="119"/>
      <c r="K574" s="35"/>
    </row>
    <row r="575" hidden="1">
      <c r="B575" s="116"/>
      <c r="G575" s="117"/>
      <c r="H575" s="118"/>
      <c r="J575" s="119"/>
      <c r="K575" s="35"/>
    </row>
    <row r="576" hidden="1">
      <c r="B576" s="116"/>
      <c r="G576" s="117"/>
      <c r="H576" s="118"/>
      <c r="J576" s="119"/>
      <c r="K576" s="35"/>
    </row>
    <row r="577" hidden="1">
      <c r="B577" s="116"/>
      <c r="G577" s="117"/>
      <c r="H577" s="118"/>
      <c r="J577" s="119"/>
      <c r="K577" s="35"/>
    </row>
    <row r="578" hidden="1">
      <c r="B578" s="116"/>
      <c r="G578" s="117"/>
      <c r="H578" s="118"/>
      <c r="J578" s="119"/>
      <c r="K578" s="35"/>
    </row>
    <row r="579" hidden="1">
      <c r="B579" s="116"/>
      <c r="G579" s="117"/>
      <c r="H579" s="118"/>
      <c r="J579" s="119"/>
      <c r="K579" s="35"/>
    </row>
    <row r="580" hidden="1">
      <c r="B580" s="116"/>
      <c r="G580" s="117"/>
      <c r="H580" s="118"/>
      <c r="J580" s="119"/>
      <c r="K580" s="35"/>
    </row>
    <row r="581" hidden="1">
      <c r="B581" s="116"/>
      <c r="G581" s="117"/>
      <c r="H581" s="118"/>
      <c r="J581" s="119"/>
      <c r="K581" s="35"/>
    </row>
    <row r="582" hidden="1">
      <c r="B582" s="116"/>
      <c r="G582" s="117"/>
      <c r="H582" s="118"/>
      <c r="J582" s="119"/>
      <c r="K582" s="35"/>
    </row>
    <row r="583" hidden="1">
      <c r="B583" s="116"/>
      <c r="G583" s="117"/>
      <c r="H583" s="118"/>
      <c r="J583" s="119"/>
      <c r="K583" s="35"/>
    </row>
    <row r="584" hidden="1">
      <c r="B584" s="116"/>
      <c r="G584" s="117"/>
      <c r="H584" s="118"/>
      <c r="J584" s="119"/>
      <c r="K584" s="35"/>
    </row>
    <row r="585" hidden="1">
      <c r="B585" s="116"/>
      <c r="G585" s="117"/>
      <c r="H585" s="118"/>
      <c r="J585" s="119"/>
      <c r="K585" s="35"/>
    </row>
    <row r="586" hidden="1">
      <c r="B586" s="116"/>
      <c r="G586" s="117"/>
      <c r="H586" s="118"/>
      <c r="J586" s="119"/>
      <c r="K586" s="35"/>
    </row>
    <row r="587" hidden="1">
      <c r="B587" s="116"/>
      <c r="G587" s="117"/>
      <c r="H587" s="118"/>
      <c r="J587" s="119"/>
      <c r="K587" s="35"/>
    </row>
    <row r="588" hidden="1">
      <c r="B588" s="116"/>
      <c r="G588" s="117"/>
      <c r="H588" s="118"/>
      <c r="J588" s="119"/>
      <c r="K588" s="35"/>
    </row>
    <row r="589" hidden="1">
      <c r="B589" s="116"/>
      <c r="G589" s="117"/>
      <c r="H589" s="118"/>
      <c r="J589" s="119"/>
      <c r="K589" s="35"/>
    </row>
    <row r="590" hidden="1">
      <c r="B590" s="116"/>
      <c r="G590" s="117"/>
      <c r="H590" s="118"/>
      <c r="J590" s="119"/>
      <c r="K590" s="35"/>
    </row>
    <row r="591" hidden="1">
      <c r="B591" s="116"/>
      <c r="G591" s="117"/>
      <c r="H591" s="118"/>
      <c r="J591" s="119"/>
      <c r="K591" s="35"/>
    </row>
    <row r="592" hidden="1">
      <c r="B592" s="116"/>
      <c r="G592" s="117"/>
      <c r="H592" s="118"/>
      <c r="J592" s="119"/>
      <c r="K592" s="35"/>
    </row>
    <row r="593" hidden="1">
      <c r="B593" s="116"/>
      <c r="G593" s="117"/>
      <c r="H593" s="118"/>
      <c r="J593" s="119"/>
      <c r="K593" s="35"/>
    </row>
    <row r="594" hidden="1">
      <c r="B594" s="116"/>
      <c r="G594" s="117"/>
      <c r="H594" s="118"/>
      <c r="J594" s="119"/>
      <c r="K594" s="35"/>
    </row>
    <row r="595" hidden="1">
      <c r="B595" s="116"/>
      <c r="G595" s="117"/>
      <c r="H595" s="118"/>
      <c r="J595" s="119"/>
      <c r="K595" s="35"/>
    </row>
    <row r="596" hidden="1">
      <c r="B596" s="116"/>
      <c r="G596" s="117"/>
      <c r="H596" s="118"/>
      <c r="J596" s="119"/>
      <c r="K596" s="35"/>
    </row>
    <row r="597" hidden="1">
      <c r="B597" s="116"/>
      <c r="G597" s="117"/>
      <c r="H597" s="118"/>
      <c r="J597" s="119"/>
      <c r="K597" s="35"/>
    </row>
    <row r="598" hidden="1">
      <c r="B598" s="116"/>
      <c r="G598" s="117"/>
      <c r="H598" s="118"/>
      <c r="J598" s="119"/>
      <c r="K598" s="35"/>
    </row>
    <row r="599" hidden="1">
      <c r="B599" s="116"/>
      <c r="G599" s="117"/>
      <c r="H599" s="118"/>
      <c r="J599" s="119"/>
      <c r="K599" s="35"/>
    </row>
    <row r="600" hidden="1">
      <c r="B600" s="116"/>
      <c r="G600" s="117"/>
      <c r="H600" s="118"/>
      <c r="J600" s="119"/>
      <c r="K600" s="35"/>
    </row>
    <row r="601" hidden="1">
      <c r="B601" s="116"/>
      <c r="G601" s="117"/>
      <c r="H601" s="118"/>
      <c r="J601" s="119"/>
      <c r="K601" s="35"/>
    </row>
    <row r="602" hidden="1">
      <c r="B602" s="116"/>
      <c r="G602" s="117"/>
      <c r="H602" s="118"/>
      <c r="J602" s="119"/>
      <c r="K602" s="35"/>
    </row>
    <row r="603" hidden="1">
      <c r="B603" s="116"/>
      <c r="G603" s="117"/>
      <c r="H603" s="118"/>
      <c r="J603" s="119"/>
      <c r="K603" s="35"/>
    </row>
    <row r="604" hidden="1">
      <c r="B604" s="116"/>
      <c r="G604" s="117"/>
      <c r="H604" s="118"/>
      <c r="J604" s="119"/>
      <c r="K604" s="35"/>
    </row>
    <row r="605" hidden="1">
      <c r="B605" s="116"/>
      <c r="G605" s="117"/>
      <c r="H605" s="118"/>
      <c r="J605" s="119"/>
      <c r="K605" s="35"/>
    </row>
    <row r="606" hidden="1">
      <c r="B606" s="116"/>
      <c r="G606" s="117"/>
      <c r="H606" s="118"/>
      <c r="J606" s="119"/>
      <c r="K606" s="35"/>
    </row>
    <row r="607" hidden="1">
      <c r="B607" s="116"/>
      <c r="G607" s="117"/>
      <c r="H607" s="118"/>
      <c r="J607" s="119"/>
      <c r="K607" s="35"/>
    </row>
    <row r="608" hidden="1">
      <c r="B608" s="116"/>
      <c r="G608" s="117"/>
      <c r="H608" s="118"/>
      <c r="J608" s="119"/>
      <c r="K608" s="35"/>
    </row>
    <row r="609" hidden="1">
      <c r="B609" s="116"/>
      <c r="G609" s="117"/>
      <c r="H609" s="118"/>
      <c r="J609" s="119"/>
      <c r="K609" s="35"/>
    </row>
    <row r="610" hidden="1">
      <c r="B610" s="116"/>
      <c r="G610" s="117"/>
      <c r="H610" s="118"/>
      <c r="J610" s="119"/>
      <c r="K610" s="35"/>
    </row>
    <row r="611" hidden="1">
      <c r="B611" s="116"/>
      <c r="G611" s="117"/>
      <c r="H611" s="118"/>
      <c r="J611" s="119"/>
      <c r="K611" s="35"/>
    </row>
    <row r="612" hidden="1">
      <c r="B612" s="116"/>
      <c r="G612" s="117"/>
      <c r="H612" s="118"/>
      <c r="J612" s="119"/>
      <c r="K612" s="35"/>
    </row>
    <row r="613" hidden="1">
      <c r="B613" s="116"/>
      <c r="G613" s="117"/>
      <c r="H613" s="118"/>
      <c r="J613" s="119"/>
      <c r="K613" s="35"/>
    </row>
    <row r="614" hidden="1">
      <c r="B614" s="116"/>
      <c r="G614" s="117"/>
      <c r="H614" s="118"/>
      <c r="J614" s="119"/>
      <c r="K614" s="35"/>
    </row>
    <row r="615" hidden="1">
      <c r="B615" s="116"/>
      <c r="G615" s="117"/>
      <c r="H615" s="118"/>
      <c r="J615" s="119"/>
      <c r="K615" s="35"/>
    </row>
    <row r="616" hidden="1">
      <c r="B616" s="116"/>
      <c r="G616" s="117"/>
      <c r="H616" s="118"/>
      <c r="J616" s="119"/>
      <c r="K616" s="35"/>
    </row>
    <row r="617" hidden="1">
      <c r="B617" s="116"/>
      <c r="G617" s="117"/>
      <c r="H617" s="118"/>
      <c r="J617" s="119"/>
      <c r="K617" s="35"/>
    </row>
    <row r="618" hidden="1">
      <c r="B618" s="116"/>
      <c r="G618" s="117"/>
      <c r="H618" s="118"/>
      <c r="J618" s="119"/>
      <c r="K618" s="35"/>
    </row>
    <row r="619" hidden="1">
      <c r="B619" s="116"/>
      <c r="G619" s="117"/>
      <c r="H619" s="118"/>
      <c r="J619" s="119"/>
      <c r="K619" s="35"/>
    </row>
    <row r="620" hidden="1">
      <c r="B620" s="116"/>
      <c r="G620" s="117"/>
      <c r="H620" s="118"/>
      <c r="J620" s="119"/>
      <c r="K620" s="35"/>
    </row>
    <row r="621" hidden="1">
      <c r="B621" s="116"/>
      <c r="G621" s="117"/>
      <c r="H621" s="118"/>
      <c r="J621" s="119"/>
      <c r="K621" s="35"/>
    </row>
    <row r="622" hidden="1">
      <c r="B622" s="116"/>
      <c r="G622" s="117"/>
      <c r="H622" s="118"/>
      <c r="J622" s="119"/>
      <c r="K622" s="35"/>
    </row>
    <row r="623" hidden="1">
      <c r="B623" s="116"/>
      <c r="G623" s="117"/>
      <c r="H623" s="118"/>
      <c r="J623" s="119"/>
      <c r="K623" s="35"/>
    </row>
    <row r="624" hidden="1">
      <c r="B624" s="116"/>
      <c r="G624" s="117"/>
      <c r="H624" s="118"/>
      <c r="J624" s="119"/>
      <c r="K624" s="35"/>
    </row>
    <row r="625" hidden="1">
      <c r="B625" s="116"/>
      <c r="G625" s="117"/>
      <c r="H625" s="118"/>
      <c r="J625" s="119"/>
      <c r="K625" s="35"/>
    </row>
    <row r="626" hidden="1">
      <c r="B626" s="116"/>
      <c r="G626" s="117"/>
      <c r="H626" s="118"/>
      <c r="J626" s="119"/>
      <c r="K626" s="35"/>
    </row>
    <row r="627" hidden="1">
      <c r="B627" s="116"/>
      <c r="G627" s="117"/>
      <c r="H627" s="118"/>
      <c r="J627" s="119"/>
      <c r="K627" s="35"/>
    </row>
    <row r="628" hidden="1">
      <c r="B628" s="116"/>
      <c r="G628" s="117"/>
      <c r="H628" s="118"/>
      <c r="J628" s="119"/>
      <c r="K628" s="35"/>
    </row>
    <row r="629" hidden="1">
      <c r="B629" s="116"/>
      <c r="G629" s="117"/>
      <c r="H629" s="118"/>
      <c r="J629" s="119"/>
      <c r="K629" s="35"/>
    </row>
    <row r="630" hidden="1">
      <c r="B630" s="116"/>
      <c r="G630" s="117"/>
      <c r="H630" s="118"/>
      <c r="J630" s="119"/>
      <c r="K630" s="35"/>
    </row>
    <row r="631" hidden="1">
      <c r="B631" s="116"/>
      <c r="G631" s="117"/>
      <c r="H631" s="118"/>
      <c r="J631" s="119"/>
      <c r="K631" s="35"/>
    </row>
    <row r="632" hidden="1">
      <c r="B632" s="116"/>
      <c r="G632" s="117"/>
      <c r="H632" s="118"/>
      <c r="J632" s="119"/>
      <c r="K632" s="35"/>
    </row>
    <row r="633" hidden="1">
      <c r="B633" s="116"/>
      <c r="G633" s="117"/>
      <c r="H633" s="118"/>
      <c r="J633" s="119"/>
      <c r="K633" s="35"/>
    </row>
    <row r="634" hidden="1">
      <c r="B634" s="116"/>
      <c r="G634" s="117"/>
      <c r="H634" s="118"/>
      <c r="J634" s="119"/>
      <c r="K634" s="35"/>
    </row>
    <row r="635" hidden="1">
      <c r="B635" s="116"/>
      <c r="G635" s="117"/>
      <c r="H635" s="118"/>
      <c r="J635" s="119"/>
      <c r="K635" s="35"/>
    </row>
    <row r="636" hidden="1">
      <c r="B636" s="116"/>
      <c r="G636" s="117"/>
      <c r="H636" s="118"/>
      <c r="J636" s="119"/>
      <c r="K636" s="35"/>
    </row>
    <row r="637" hidden="1">
      <c r="B637" s="116"/>
      <c r="G637" s="117"/>
      <c r="H637" s="118"/>
      <c r="J637" s="119"/>
      <c r="K637" s="35"/>
    </row>
    <row r="638" hidden="1">
      <c r="B638" s="116"/>
      <c r="G638" s="117"/>
      <c r="H638" s="118"/>
      <c r="J638" s="119"/>
      <c r="K638" s="35"/>
    </row>
    <row r="639" hidden="1">
      <c r="B639" s="116"/>
      <c r="G639" s="117"/>
      <c r="H639" s="118"/>
      <c r="J639" s="119"/>
      <c r="K639" s="35"/>
    </row>
    <row r="640" hidden="1">
      <c r="B640" s="116"/>
      <c r="G640" s="117"/>
      <c r="H640" s="118"/>
      <c r="J640" s="119"/>
      <c r="K640" s="35"/>
    </row>
    <row r="641" hidden="1">
      <c r="B641" s="116"/>
      <c r="G641" s="117"/>
      <c r="H641" s="118"/>
      <c r="J641" s="119"/>
      <c r="K641" s="35"/>
    </row>
    <row r="642" hidden="1">
      <c r="B642" s="116"/>
      <c r="G642" s="117"/>
      <c r="H642" s="118"/>
      <c r="J642" s="119"/>
      <c r="K642" s="35"/>
    </row>
    <row r="643" hidden="1">
      <c r="B643" s="116"/>
      <c r="G643" s="117"/>
      <c r="H643" s="118"/>
      <c r="J643" s="119"/>
      <c r="K643" s="35"/>
    </row>
    <row r="644" hidden="1">
      <c r="B644" s="116"/>
      <c r="G644" s="117"/>
      <c r="H644" s="118"/>
      <c r="J644" s="119"/>
      <c r="K644" s="35"/>
    </row>
    <row r="645" hidden="1">
      <c r="B645" s="116"/>
      <c r="G645" s="117"/>
      <c r="H645" s="118"/>
      <c r="J645" s="119"/>
      <c r="K645" s="35"/>
    </row>
    <row r="646" hidden="1">
      <c r="B646" s="116"/>
      <c r="G646" s="117"/>
      <c r="H646" s="118"/>
      <c r="J646" s="119"/>
      <c r="K646" s="35"/>
    </row>
    <row r="647" hidden="1">
      <c r="B647" s="116"/>
      <c r="G647" s="117"/>
      <c r="H647" s="118"/>
      <c r="J647" s="119"/>
      <c r="K647" s="35"/>
    </row>
    <row r="648" hidden="1">
      <c r="B648" s="116"/>
      <c r="G648" s="117"/>
      <c r="H648" s="118"/>
      <c r="J648" s="119"/>
      <c r="K648" s="35"/>
    </row>
    <row r="649" hidden="1">
      <c r="B649" s="116"/>
      <c r="G649" s="117"/>
      <c r="H649" s="118"/>
      <c r="J649" s="119"/>
      <c r="K649" s="35"/>
    </row>
    <row r="650" hidden="1">
      <c r="B650" s="116"/>
      <c r="G650" s="117"/>
      <c r="H650" s="118"/>
      <c r="J650" s="119"/>
      <c r="K650" s="35"/>
    </row>
    <row r="651" hidden="1">
      <c r="B651" s="116"/>
      <c r="G651" s="117"/>
      <c r="H651" s="118"/>
      <c r="J651" s="119"/>
      <c r="K651" s="35"/>
    </row>
    <row r="652" hidden="1">
      <c r="B652" s="116"/>
      <c r="G652" s="117"/>
      <c r="H652" s="118"/>
      <c r="J652" s="119"/>
      <c r="K652" s="35"/>
    </row>
    <row r="653" hidden="1">
      <c r="B653" s="116"/>
      <c r="G653" s="117"/>
      <c r="H653" s="118"/>
      <c r="J653" s="119"/>
      <c r="K653" s="35"/>
    </row>
    <row r="654" hidden="1">
      <c r="B654" s="116"/>
      <c r="G654" s="117"/>
      <c r="H654" s="118"/>
      <c r="J654" s="119"/>
      <c r="K654" s="35"/>
    </row>
    <row r="655" hidden="1">
      <c r="B655" s="116"/>
      <c r="G655" s="117"/>
      <c r="H655" s="118"/>
      <c r="J655" s="119"/>
      <c r="K655" s="35"/>
    </row>
    <row r="656" hidden="1">
      <c r="B656" s="116"/>
      <c r="G656" s="117"/>
      <c r="H656" s="118"/>
      <c r="J656" s="119"/>
      <c r="K656" s="35"/>
    </row>
    <row r="657" hidden="1">
      <c r="B657" s="116"/>
      <c r="G657" s="117"/>
      <c r="H657" s="118"/>
      <c r="J657" s="119"/>
      <c r="K657" s="35"/>
    </row>
    <row r="658" hidden="1">
      <c r="B658" s="116"/>
      <c r="G658" s="117"/>
      <c r="H658" s="118"/>
      <c r="J658" s="119"/>
      <c r="K658" s="35"/>
    </row>
    <row r="659" hidden="1">
      <c r="B659" s="116"/>
      <c r="G659" s="117"/>
      <c r="H659" s="118"/>
      <c r="J659" s="119"/>
      <c r="K659" s="35"/>
    </row>
    <row r="660" hidden="1">
      <c r="B660" s="116"/>
      <c r="G660" s="117"/>
      <c r="H660" s="118"/>
      <c r="J660" s="119"/>
      <c r="K660" s="35"/>
    </row>
    <row r="661" hidden="1">
      <c r="B661" s="116"/>
      <c r="G661" s="117"/>
      <c r="H661" s="118"/>
      <c r="J661" s="119"/>
      <c r="K661" s="35"/>
    </row>
    <row r="662" hidden="1">
      <c r="B662" s="116"/>
      <c r="G662" s="117"/>
      <c r="H662" s="118"/>
      <c r="J662" s="119"/>
      <c r="K662" s="35"/>
    </row>
    <row r="663" hidden="1">
      <c r="B663" s="116"/>
      <c r="G663" s="117"/>
      <c r="H663" s="118"/>
      <c r="J663" s="119"/>
      <c r="K663" s="35"/>
    </row>
    <row r="664" hidden="1">
      <c r="B664" s="116"/>
      <c r="G664" s="117"/>
      <c r="H664" s="118"/>
      <c r="J664" s="119"/>
      <c r="K664" s="35"/>
    </row>
    <row r="665" hidden="1">
      <c r="B665" s="116"/>
      <c r="G665" s="117"/>
      <c r="H665" s="118"/>
      <c r="J665" s="119"/>
      <c r="K665" s="35"/>
    </row>
    <row r="666" hidden="1">
      <c r="B666" s="116"/>
      <c r="G666" s="117"/>
      <c r="H666" s="118"/>
      <c r="J666" s="119"/>
      <c r="K666" s="35"/>
    </row>
    <row r="667" hidden="1">
      <c r="B667" s="116"/>
      <c r="G667" s="117"/>
      <c r="H667" s="118"/>
      <c r="J667" s="119"/>
      <c r="K667" s="35"/>
    </row>
    <row r="668" hidden="1">
      <c r="B668" s="116"/>
      <c r="G668" s="117"/>
      <c r="H668" s="118"/>
      <c r="J668" s="119"/>
      <c r="K668" s="35"/>
    </row>
    <row r="669" hidden="1">
      <c r="B669" s="116"/>
      <c r="G669" s="117"/>
      <c r="H669" s="118"/>
      <c r="J669" s="119"/>
      <c r="K669" s="35"/>
    </row>
    <row r="670" hidden="1">
      <c r="B670" s="116"/>
      <c r="G670" s="117"/>
      <c r="H670" s="118"/>
      <c r="J670" s="119"/>
      <c r="K670" s="35"/>
    </row>
    <row r="671" hidden="1">
      <c r="B671" s="116"/>
      <c r="G671" s="117"/>
      <c r="H671" s="118"/>
      <c r="J671" s="119"/>
      <c r="K671" s="35"/>
    </row>
    <row r="672" hidden="1">
      <c r="B672" s="116"/>
      <c r="G672" s="117"/>
      <c r="H672" s="118"/>
      <c r="J672" s="119"/>
      <c r="K672" s="35"/>
    </row>
    <row r="673" hidden="1">
      <c r="B673" s="116"/>
      <c r="G673" s="117"/>
      <c r="H673" s="118"/>
      <c r="J673" s="119"/>
      <c r="K673" s="35"/>
    </row>
    <row r="674" hidden="1">
      <c r="B674" s="116"/>
      <c r="G674" s="117"/>
      <c r="H674" s="118"/>
      <c r="J674" s="119"/>
      <c r="K674" s="35"/>
    </row>
    <row r="675" hidden="1">
      <c r="B675" s="116"/>
      <c r="G675" s="117"/>
      <c r="H675" s="118"/>
      <c r="J675" s="119"/>
      <c r="K675" s="35"/>
    </row>
    <row r="676" hidden="1">
      <c r="B676" s="116"/>
      <c r="G676" s="117"/>
      <c r="H676" s="118"/>
      <c r="J676" s="119"/>
      <c r="K676" s="35"/>
    </row>
    <row r="677" hidden="1">
      <c r="B677" s="116"/>
      <c r="G677" s="117"/>
      <c r="H677" s="118"/>
      <c r="J677" s="119"/>
      <c r="K677" s="35"/>
    </row>
    <row r="678" hidden="1">
      <c r="B678" s="116"/>
      <c r="G678" s="117"/>
      <c r="H678" s="118"/>
      <c r="J678" s="119"/>
      <c r="K678" s="35"/>
    </row>
    <row r="679" hidden="1">
      <c r="B679" s="116"/>
      <c r="G679" s="117"/>
      <c r="H679" s="118"/>
      <c r="J679" s="119"/>
      <c r="K679" s="35"/>
    </row>
    <row r="680" hidden="1">
      <c r="B680" s="116"/>
      <c r="G680" s="117"/>
      <c r="H680" s="118"/>
      <c r="J680" s="119"/>
      <c r="K680" s="35"/>
    </row>
    <row r="681" hidden="1">
      <c r="B681" s="116"/>
      <c r="G681" s="117"/>
      <c r="H681" s="118"/>
      <c r="J681" s="119"/>
      <c r="K681" s="35"/>
    </row>
    <row r="682" hidden="1">
      <c r="B682" s="116"/>
      <c r="G682" s="117"/>
      <c r="H682" s="118"/>
      <c r="J682" s="119"/>
      <c r="K682" s="35"/>
    </row>
    <row r="683" hidden="1">
      <c r="B683" s="116"/>
      <c r="G683" s="117"/>
      <c r="H683" s="118"/>
      <c r="J683" s="119"/>
      <c r="K683" s="35"/>
    </row>
    <row r="684" hidden="1">
      <c r="B684" s="116"/>
      <c r="G684" s="117"/>
      <c r="H684" s="118"/>
      <c r="J684" s="119"/>
      <c r="K684" s="35"/>
    </row>
    <row r="685" hidden="1">
      <c r="B685" s="116"/>
      <c r="G685" s="117"/>
      <c r="H685" s="118"/>
      <c r="J685" s="119"/>
      <c r="K685" s="35"/>
    </row>
    <row r="686" hidden="1">
      <c r="B686" s="116"/>
      <c r="G686" s="117"/>
      <c r="H686" s="118"/>
      <c r="J686" s="119"/>
      <c r="K686" s="35"/>
    </row>
    <row r="687" hidden="1">
      <c r="B687" s="116"/>
      <c r="G687" s="117"/>
      <c r="H687" s="118"/>
      <c r="J687" s="119"/>
      <c r="K687" s="35"/>
    </row>
    <row r="688" hidden="1">
      <c r="B688" s="116"/>
      <c r="G688" s="117"/>
      <c r="H688" s="118"/>
      <c r="J688" s="119"/>
      <c r="K688" s="35"/>
    </row>
    <row r="689" hidden="1">
      <c r="B689" s="116"/>
      <c r="G689" s="117"/>
      <c r="H689" s="118"/>
      <c r="J689" s="119"/>
      <c r="K689" s="35"/>
    </row>
    <row r="690" hidden="1">
      <c r="B690" s="116"/>
      <c r="G690" s="117"/>
      <c r="H690" s="118"/>
      <c r="J690" s="119"/>
      <c r="K690" s="35"/>
    </row>
    <row r="691" hidden="1">
      <c r="B691" s="116"/>
      <c r="G691" s="117"/>
      <c r="H691" s="118"/>
      <c r="J691" s="119"/>
      <c r="K691" s="35"/>
    </row>
    <row r="692" hidden="1">
      <c r="B692" s="116"/>
      <c r="G692" s="117"/>
      <c r="H692" s="118"/>
      <c r="J692" s="119"/>
      <c r="K692" s="35"/>
    </row>
    <row r="693" hidden="1">
      <c r="B693" s="116"/>
      <c r="G693" s="117"/>
      <c r="H693" s="118"/>
      <c r="J693" s="119"/>
      <c r="K693" s="35"/>
    </row>
    <row r="694" hidden="1">
      <c r="B694" s="116"/>
      <c r="G694" s="117"/>
      <c r="H694" s="118"/>
      <c r="J694" s="119"/>
      <c r="K694" s="35"/>
    </row>
    <row r="695" hidden="1">
      <c r="B695" s="116"/>
      <c r="G695" s="117"/>
      <c r="H695" s="118"/>
      <c r="J695" s="119"/>
      <c r="K695" s="35"/>
    </row>
    <row r="696" hidden="1">
      <c r="B696" s="116"/>
      <c r="G696" s="117"/>
      <c r="H696" s="118"/>
      <c r="J696" s="119"/>
      <c r="K696" s="35"/>
    </row>
    <row r="697" hidden="1">
      <c r="B697" s="116"/>
      <c r="G697" s="117"/>
      <c r="H697" s="118"/>
      <c r="J697" s="119"/>
      <c r="K697" s="35"/>
    </row>
    <row r="698" hidden="1">
      <c r="B698" s="116"/>
      <c r="G698" s="117"/>
      <c r="H698" s="118"/>
      <c r="J698" s="119"/>
      <c r="K698" s="35"/>
    </row>
    <row r="699" hidden="1">
      <c r="B699" s="116"/>
      <c r="G699" s="117"/>
      <c r="H699" s="118"/>
      <c r="J699" s="119"/>
      <c r="K699" s="35"/>
    </row>
    <row r="700" hidden="1">
      <c r="B700" s="116"/>
      <c r="G700" s="117"/>
      <c r="H700" s="118"/>
      <c r="J700" s="119"/>
      <c r="K700" s="35"/>
    </row>
    <row r="701" hidden="1">
      <c r="B701" s="116"/>
      <c r="G701" s="117"/>
      <c r="H701" s="118"/>
      <c r="J701" s="119"/>
      <c r="K701" s="35"/>
    </row>
    <row r="702" hidden="1">
      <c r="B702" s="116"/>
      <c r="G702" s="117"/>
      <c r="H702" s="118"/>
      <c r="J702" s="119"/>
      <c r="K702" s="35"/>
    </row>
    <row r="703" hidden="1">
      <c r="B703" s="116"/>
      <c r="G703" s="117"/>
      <c r="H703" s="118"/>
      <c r="J703" s="119"/>
      <c r="K703" s="35"/>
    </row>
    <row r="704" hidden="1">
      <c r="B704" s="116"/>
      <c r="G704" s="117"/>
      <c r="H704" s="118"/>
      <c r="J704" s="119"/>
      <c r="K704" s="35"/>
    </row>
    <row r="705" hidden="1">
      <c r="B705" s="116"/>
      <c r="G705" s="117"/>
      <c r="H705" s="118"/>
      <c r="J705" s="119"/>
      <c r="K705" s="35"/>
    </row>
    <row r="706" hidden="1">
      <c r="B706" s="116"/>
      <c r="G706" s="117"/>
      <c r="H706" s="118"/>
      <c r="J706" s="119"/>
      <c r="K706" s="35"/>
    </row>
    <row r="707" hidden="1">
      <c r="B707" s="116"/>
      <c r="G707" s="117"/>
      <c r="H707" s="118"/>
      <c r="J707" s="119"/>
      <c r="K707" s="35"/>
    </row>
    <row r="708" hidden="1">
      <c r="B708" s="116"/>
      <c r="G708" s="117"/>
      <c r="H708" s="118"/>
      <c r="J708" s="119"/>
      <c r="K708" s="35"/>
    </row>
    <row r="709" hidden="1">
      <c r="B709" s="116"/>
      <c r="G709" s="117"/>
      <c r="H709" s="118"/>
      <c r="J709" s="119"/>
      <c r="K709" s="35"/>
    </row>
    <row r="710" hidden="1">
      <c r="B710" s="116"/>
      <c r="G710" s="117"/>
      <c r="H710" s="118"/>
      <c r="J710" s="119"/>
      <c r="K710" s="35"/>
    </row>
    <row r="711" hidden="1">
      <c r="B711" s="116"/>
      <c r="G711" s="117"/>
      <c r="H711" s="118"/>
      <c r="J711" s="119"/>
      <c r="K711" s="35"/>
    </row>
    <row r="712" hidden="1">
      <c r="B712" s="116"/>
      <c r="G712" s="117"/>
      <c r="H712" s="118"/>
      <c r="J712" s="119"/>
      <c r="K712" s="35"/>
    </row>
    <row r="713" hidden="1">
      <c r="B713" s="116"/>
      <c r="G713" s="117"/>
      <c r="H713" s="118"/>
      <c r="J713" s="119"/>
      <c r="K713" s="35"/>
    </row>
    <row r="714" hidden="1">
      <c r="B714" s="116"/>
      <c r="G714" s="117"/>
      <c r="H714" s="118"/>
      <c r="J714" s="119"/>
      <c r="K714" s="35"/>
    </row>
    <row r="715" hidden="1">
      <c r="B715" s="116"/>
      <c r="G715" s="117"/>
      <c r="H715" s="118"/>
      <c r="J715" s="119"/>
      <c r="K715" s="35"/>
    </row>
    <row r="716" hidden="1">
      <c r="B716" s="116"/>
      <c r="G716" s="117"/>
      <c r="H716" s="118"/>
      <c r="J716" s="119"/>
      <c r="K716" s="35"/>
    </row>
    <row r="717" hidden="1">
      <c r="B717" s="116"/>
      <c r="G717" s="117"/>
      <c r="H717" s="118"/>
      <c r="J717" s="119"/>
      <c r="K717" s="35"/>
    </row>
    <row r="718" hidden="1">
      <c r="B718" s="116"/>
      <c r="G718" s="117"/>
      <c r="H718" s="118"/>
      <c r="J718" s="119"/>
      <c r="K718" s="35"/>
    </row>
    <row r="719" hidden="1">
      <c r="B719" s="116"/>
      <c r="G719" s="117"/>
      <c r="H719" s="118"/>
      <c r="J719" s="119"/>
      <c r="K719" s="35"/>
    </row>
    <row r="720" hidden="1">
      <c r="B720" s="116"/>
      <c r="G720" s="117"/>
      <c r="H720" s="118"/>
      <c r="J720" s="119"/>
      <c r="K720" s="35"/>
    </row>
    <row r="721" hidden="1">
      <c r="B721" s="116"/>
      <c r="G721" s="117"/>
      <c r="H721" s="118"/>
      <c r="J721" s="119"/>
      <c r="K721" s="35"/>
    </row>
    <row r="722" hidden="1">
      <c r="B722" s="116"/>
      <c r="G722" s="117"/>
      <c r="H722" s="118"/>
      <c r="J722" s="119"/>
      <c r="K722" s="35"/>
    </row>
    <row r="723" hidden="1">
      <c r="B723" s="116"/>
      <c r="G723" s="117"/>
      <c r="H723" s="118"/>
      <c r="J723" s="119"/>
      <c r="K723" s="35"/>
    </row>
    <row r="724" hidden="1">
      <c r="B724" s="116"/>
      <c r="G724" s="117"/>
      <c r="H724" s="118"/>
      <c r="J724" s="119"/>
      <c r="K724" s="35"/>
    </row>
    <row r="725" hidden="1">
      <c r="B725" s="116"/>
      <c r="G725" s="117"/>
      <c r="H725" s="118"/>
      <c r="J725" s="119"/>
      <c r="K725" s="35"/>
    </row>
    <row r="726" hidden="1">
      <c r="B726" s="116"/>
      <c r="G726" s="117"/>
      <c r="H726" s="118"/>
      <c r="J726" s="119"/>
      <c r="K726" s="35"/>
    </row>
    <row r="727" hidden="1">
      <c r="B727" s="116"/>
      <c r="G727" s="117"/>
      <c r="H727" s="118"/>
      <c r="J727" s="119"/>
      <c r="K727" s="35"/>
    </row>
    <row r="728" hidden="1">
      <c r="B728" s="116"/>
      <c r="G728" s="117"/>
      <c r="H728" s="118"/>
      <c r="J728" s="119"/>
      <c r="K728" s="35"/>
    </row>
    <row r="729" hidden="1">
      <c r="B729" s="116"/>
      <c r="G729" s="117"/>
      <c r="H729" s="118"/>
      <c r="J729" s="119"/>
      <c r="K729" s="35"/>
    </row>
    <row r="730" hidden="1">
      <c r="B730" s="116"/>
      <c r="G730" s="117"/>
      <c r="H730" s="118"/>
      <c r="J730" s="119"/>
      <c r="K730" s="35"/>
    </row>
    <row r="731" hidden="1">
      <c r="B731" s="116"/>
      <c r="G731" s="117"/>
      <c r="H731" s="118"/>
      <c r="J731" s="119"/>
      <c r="K731" s="35"/>
    </row>
    <row r="732" hidden="1">
      <c r="B732" s="116"/>
      <c r="G732" s="117"/>
      <c r="H732" s="118"/>
      <c r="J732" s="119"/>
      <c r="K732" s="35"/>
    </row>
    <row r="733" hidden="1">
      <c r="B733" s="116"/>
      <c r="G733" s="117"/>
      <c r="H733" s="118"/>
      <c r="J733" s="119"/>
      <c r="K733" s="35"/>
    </row>
    <row r="734" hidden="1">
      <c r="B734" s="116"/>
      <c r="G734" s="117"/>
      <c r="H734" s="118"/>
      <c r="J734" s="119"/>
      <c r="K734" s="35"/>
    </row>
    <row r="735" hidden="1">
      <c r="B735" s="116"/>
      <c r="G735" s="117"/>
      <c r="H735" s="118"/>
      <c r="J735" s="119"/>
      <c r="K735" s="35"/>
    </row>
    <row r="736" hidden="1">
      <c r="B736" s="116"/>
      <c r="G736" s="117"/>
      <c r="H736" s="118"/>
      <c r="J736" s="119"/>
      <c r="K736" s="35"/>
    </row>
    <row r="737" hidden="1">
      <c r="B737" s="116"/>
      <c r="G737" s="117"/>
      <c r="H737" s="118"/>
      <c r="J737" s="119"/>
      <c r="K737" s="35"/>
    </row>
    <row r="738" hidden="1">
      <c r="B738" s="116"/>
      <c r="G738" s="117"/>
      <c r="H738" s="118"/>
      <c r="J738" s="119"/>
      <c r="K738" s="35"/>
    </row>
    <row r="739" hidden="1">
      <c r="B739" s="116"/>
      <c r="G739" s="117"/>
      <c r="H739" s="118"/>
      <c r="J739" s="119"/>
      <c r="K739" s="35"/>
    </row>
    <row r="740" hidden="1">
      <c r="B740" s="116"/>
      <c r="G740" s="117"/>
      <c r="H740" s="118"/>
      <c r="J740" s="119"/>
      <c r="K740" s="35"/>
    </row>
    <row r="741" hidden="1">
      <c r="B741" s="116"/>
      <c r="G741" s="117"/>
      <c r="H741" s="118"/>
      <c r="J741" s="119"/>
      <c r="K741" s="35"/>
    </row>
    <row r="742" hidden="1">
      <c r="B742" s="116"/>
      <c r="G742" s="117"/>
      <c r="H742" s="118"/>
      <c r="J742" s="119"/>
      <c r="K742" s="35"/>
    </row>
    <row r="743" hidden="1">
      <c r="B743" s="116"/>
      <c r="G743" s="117"/>
      <c r="H743" s="118"/>
      <c r="J743" s="119"/>
      <c r="K743" s="35"/>
    </row>
    <row r="744" hidden="1">
      <c r="B744" s="116"/>
      <c r="G744" s="117"/>
      <c r="H744" s="118"/>
      <c r="J744" s="119"/>
      <c r="K744" s="35"/>
    </row>
    <row r="745" hidden="1">
      <c r="B745" s="116"/>
      <c r="G745" s="117"/>
      <c r="H745" s="118"/>
      <c r="J745" s="119"/>
      <c r="K745" s="35"/>
    </row>
    <row r="746" hidden="1">
      <c r="B746" s="116"/>
      <c r="G746" s="117"/>
      <c r="H746" s="118"/>
      <c r="J746" s="119"/>
      <c r="K746" s="35"/>
    </row>
    <row r="747" hidden="1">
      <c r="B747" s="116"/>
      <c r="G747" s="117"/>
      <c r="H747" s="118"/>
      <c r="J747" s="119"/>
      <c r="K747" s="35"/>
    </row>
    <row r="748" hidden="1">
      <c r="B748" s="116"/>
      <c r="G748" s="117"/>
      <c r="H748" s="118"/>
      <c r="J748" s="119"/>
      <c r="K748" s="35"/>
    </row>
    <row r="749" hidden="1">
      <c r="B749" s="116"/>
      <c r="G749" s="117"/>
      <c r="H749" s="118"/>
      <c r="J749" s="119"/>
      <c r="K749" s="35"/>
    </row>
    <row r="750" hidden="1">
      <c r="B750" s="116"/>
      <c r="G750" s="117"/>
      <c r="H750" s="118"/>
      <c r="J750" s="119"/>
      <c r="K750" s="35"/>
    </row>
    <row r="751" hidden="1">
      <c r="B751" s="116"/>
      <c r="G751" s="117"/>
      <c r="H751" s="118"/>
      <c r="J751" s="119"/>
      <c r="K751" s="35"/>
    </row>
    <row r="752" hidden="1">
      <c r="B752" s="116"/>
      <c r="G752" s="117"/>
      <c r="H752" s="118"/>
      <c r="J752" s="119"/>
      <c r="K752" s="35"/>
    </row>
    <row r="753" hidden="1">
      <c r="B753" s="116"/>
      <c r="G753" s="117"/>
      <c r="H753" s="118"/>
      <c r="J753" s="119"/>
      <c r="K753" s="35"/>
    </row>
    <row r="754" hidden="1">
      <c r="B754" s="116"/>
      <c r="G754" s="117"/>
      <c r="H754" s="118"/>
      <c r="J754" s="119"/>
      <c r="K754" s="35"/>
    </row>
    <row r="755" hidden="1">
      <c r="B755" s="116"/>
      <c r="G755" s="117"/>
      <c r="H755" s="118"/>
      <c r="J755" s="119"/>
      <c r="K755" s="35"/>
    </row>
    <row r="756" hidden="1">
      <c r="B756" s="116"/>
      <c r="G756" s="117"/>
      <c r="H756" s="118"/>
      <c r="J756" s="119"/>
      <c r="K756" s="35"/>
    </row>
    <row r="757" hidden="1">
      <c r="B757" s="116"/>
      <c r="G757" s="117"/>
      <c r="H757" s="118"/>
      <c r="J757" s="119"/>
      <c r="K757" s="35"/>
    </row>
    <row r="758" hidden="1">
      <c r="B758" s="116"/>
      <c r="G758" s="117"/>
      <c r="H758" s="118"/>
      <c r="J758" s="119"/>
      <c r="K758" s="35"/>
    </row>
    <row r="759" hidden="1">
      <c r="B759" s="116"/>
      <c r="G759" s="117"/>
      <c r="H759" s="118"/>
      <c r="J759" s="119"/>
      <c r="K759" s="35"/>
    </row>
    <row r="760" hidden="1">
      <c r="B760" s="116"/>
      <c r="G760" s="117"/>
      <c r="H760" s="118"/>
      <c r="J760" s="119"/>
      <c r="K760" s="35"/>
    </row>
    <row r="761" hidden="1">
      <c r="B761" s="116"/>
      <c r="G761" s="117"/>
      <c r="H761" s="118"/>
      <c r="J761" s="119"/>
      <c r="K761" s="35"/>
    </row>
    <row r="762" hidden="1">
      <c r="B762" s="116"/>
      <c r="G762" s="117"/>
      <c r="H762" s="118"/>
      <c r="J762" s="119"/>
      <c r="K762" s="35"/>
    </row>
    <row r="763" hidden="1">
      <c r="B763" s="116"/>
      <c r="G763" s="117"/>
      <c r="H763" s="118"/>
      <c r="J763" s="119"/>
      <c r="K763" s="35"/>
    </row>
    <row r="764" hidden="1">
      <c r="B764" s="116"/>
      <c r="G764" s="117"/>
      <c r="H764" s="118"/>
      <c r="J764" s="119"/>
      <c r="K764" s="35"/>
    </row>
    <row r="765" hidden="1">
      <c r="B765" s="116"/>
      <c r="G765" s="117"/>
      <c r="H765" s="118"/>
      <c r="J765" s="119"/>
      <c r="K765" s="35"/>
    </row>
    <row r="766" hidden="1">
      <c r="B766" s="116"/>
      <c r="G766" s="117"/>
      <c r="H766" s="118"/>
      <c r="J766" s="119"/>
      <c r="K766" s="35"/>
    </row>
    <row r="767" hidden="1">
      <c r="B767" s="116"/>
      <c r="G767" s="117"/>
      <c r="H767" s="118"/>
      <c r="J767" s="119"/>
      <c r="K767" s="35"/>
    </row>
    <row r="768" hidden="1">
      <c r="B768" s="116"/>
      <c r="G768" s="117"/>
      <c r="H768" s="118"/>
      <c r="J768" s="119"/>
      <c r="K768" s="35"/>
    </row>
    <row r="769" hidden="1">
      <c r="B769" s="116"/>
      <c r="G769" s="117"/>
      <c r="H769" s="118"/>
      <c r="J769" s="119"/>
      <c r="K769" s="35"/>
    </row>
    <row r="770" hidden="1">
      <c r="B770" s="116"/>
      <c r="G770" s="117"/>
      <c r="H770" s="118"/>
      <c r="J770" s="119"/>
      <c r="K770" s="35"/>
    </row>
    <row r="771" hidden="1">
      <c r="B771" s="116"/>
      <c r="G771" s="117"/>
      <c r="H771" s="118"/>
      <c r="J771" s="119"/>
      <c r="K771" s="35"/>
    </row>
    <row r="772" hidden="1">
      <c r="B772" s="116"/>
      <c r="G772" s="117"/>
      <c r="H772" s="118"/>
      <c r="J772" s="119"/>
      <c r="K772" s="35"/>
    </row>
    <row r="773" hidden="1">
      <c r="B773" s="116"/>
      <c r="G773" s="117"/>
      <c r="H773" s="118"/>
      <c r="J773" s="119"/>
      <c r="K773" s="35"/>
    </row>
    <row r="774" hidden="1">
      <c r="B774" s="116"/>
      <c r="G774" s="117"/>
      <c r="H774" s="118"/>
      <c r="J774" s="119"/>
      <c r="K774" s="35"/>
    </row>
    <row r="775" hidden="1">
      <c r="B775" s="116"/>
      <c r="G775" s="117"/>
      <c r="H775" s="118"/>
      <c r="J775" s="119"/>
      <c r="K775" s="35"/>
    </row>
    <row r="776" hidden="1">
      <c r="B776" s="116"/>
      <c r="G776" s="117"/>
      <c r="H776" s="118"/>
      <c r="J776" s="119"/>
      <c r="K776" s="35"/>
    </row>
    <row r="777" hidden="1">
      <c r="B777" s="116"/>
      <c r="G777" s="117"/>
      <c r="H777" s="118"/>
      <c r="J777" s="119"/>
      <c r="K777" s="35"/>
    </row>
    <row r="778" hidden="1">
      <c r="B778" s="116"/>
      <c r="G778" s="117"/>
      <c r="H778" s="118"/>
      <c r="J778" s="119"/>
      <c r="K778" s="35"/>
    </row>
    <row r="779" hidden="1">
      <c r="B779" s="116"/>
      <c r="G779" s="117"/>
      <c r="H779" s="118"/>
      <c r="J779" s="119"/>
      <c r="K779" s="35"/>
    </row>
    <row r="780" hidden="1">
      <c r="B780" s="116"/>
      <c r="G780" s="117"/>
      <c r="H780" s="118"/>
      <c r="J780" s="119"/>
      <c r="K780" s="35"/>
    </row>
    <row r="781" hidden="1">
      <c r="B781" s="116"/>
      <c r="G781" s="117"/>
      <c r="H781" s="118"/>
      <c r="J781" s="119"/>
      <c r="K781" s="35"/>
    </row>
    <row r="782" hidden="1">
      <c r="B782" s="116"/>
      <c r="G782" s="117"/>
      <c r="H782" s="118"/>
      <c r="J782" s="119"/>
      <c r="K782" s="35"/>
    </row>
    <row r="783" hidden="1">
      <c r="B783" s="116"/>
      <c r="G783" s="117"/>
      <c r="H783" s="118"/>
      <c r="J783" s="119"/>
      <c r="K783" s="35"/>
    </row>
    <row r="784" hidden="1">
      <c r="B784" s="116"/>
      <c r="G784" s="117"/>
      <c r="H784" s="118"/>
      <c r="J784" s="119"/>
      <c r="K784" s="35"/>
    </row>
    <row r="785" hidden="1">
      <c r="B785" s="116"/>
      <c r="G785" s="117"/>
      <c r="H785" s="118"/>
      <c r="J785" s="119"/>
      <c r="K785" s="35"/>
    </row>
    <row r="786" hidden="1">
      <c r="B786" s="116"/>
      <c r="G786" s="117"/>
      <c r="H786" s="118"/>
      <c r="J786" s="119"/>
      <c r="K786" s="35"/>
    </row>
    <row r="787" hidden="1">
      <c r="B787" s="116"/>
      <c r="G787" s="117"/>
      <c r="H787" s="118"/>
      <c r="J787" s="119"/>
      <c r="K787" s="35"/>
    </row>
    <row r="788" hidden="1">
      <c r="B788" s="116"/>
      <c r="G788" s="117"/>
      <c r="H788" s="118"/>
      <c r="J788" s="119"/>
      <c r="K788" s="35"/>
    </row>
    <row r="789" hidden="1">
      <c r="B789" s="116"/>
      <c r="G789" s="117"/>
      <c r="H789" s="118"/>
      <c r="J789" s="119"/>
      <c r="K789" s="35"/>
    </row>
    <row r="790" hidden="1">
      <c r="B790" s="116"/>
      <c r="G790" s="117"/>
      <c r="H790" s="118"/>
      <c r="J790" s="119"/>
      <c r="K790" s="35"/>
    </row>
    <row r="791" hidden="1">
      <c r="B791" s="116"/>
      <c r="G791" s="117"/>
      <c r="H791" s="118"/>
      <c r="J791" s="119"/>
      <c r="K791" s="35"/>
    </row>
    <row r="792" hidden="1">
      <c r="B792" s="116"/>
      <c r="G792" s="117"/>
      <c r="H792" s="118"/>
      <c r="J792" s="119"/>
      <c r="K792" s="35"/>
    </row>
    <row r="793" hidden="1">
      <c r="B793" s="116"/>
      <c r="G793" s="117"/>
      <c r="H793" s="118"/>
      <c r="J793" s="119"/>
      <c r="K793" s="35"/>
    </row>
    <row r="794" hidden="1">
      <c r="B794" s="116"/>
      <c r="G794" s="117"/>
      <c r="H794" s="118"/>
      <c r="J794" s="119"/>
      <c r="K794" s="35"/>
    </row>
    <row r="795" hidden="1">
      <c r="B795" s="116"/>
      <c r="G795" s="117"/>
      <c r="H795" s="118"/>
      <c r="J795" s="119"/>
      <c r="K795" s="35"/>
    </row>
    <row r="796" hidden="1">
      <c r="B796" s="116"/>
      <c r="G796" s="117"/>
      <c r="H796" s="118"/>
      <c r="J796" s="119"/>
      <c r="K796" s="35"/>
    </row>
    <row r="797" hidden="1">
      <c r="B797" s="116"/>
      <c r="G797" s="117"/>
      <c r="H797" s="118"/>
      <c r="J797" s="119"/>
      <c r="K797" s="35"/>
    </row>
    <row r="798" hidden="1">
      <c r="B798" s="116"/>
      <c r="G798" s="117"/>
      <c r="H798" s="118"/>
      <c r="J798" s="119"/>
      <c r="K798" s="35"/>
    </row>
    <row r="799" hidden="1">
      <c r="B799" s="116"/>
      <c r="G799" s="117"/>
      <c r="H799" s="118"/>
      <c r="J799" s="119"/>
      <c r="K799" s="35"/>
    </row>
    <row r="800" hidden="1">
      <c r="B800" s="116"/>
      <c r="G800" s="117"/>
      <c r="H800" s="118"/>
      <c r="J800" s="119"/>
      <c r="K800" s="35"/>
    </row>
    <row r="801" hidden="1">
      <c r="B801" s="116"/>
      <c r="G801" s="117"/>
      <c r="H801" s="118"/>
      <c r="J801" s="119"/>
      <c r="K801" s="35"/>
    </row>
    <row r="802" hidden="1">
      <c r="B802" s="116"/>
      <c r="G802" s="117"/>
      <c r="H802" s="118"/>
      <c r="J802" s="119"/>
      <c r="K802" s="35"/>
    </row>
    <row r="803" hidden="1">
      <c r="B803" s="116"/>
      <c r="G803" s="117"/>
      <c r="H803" s="118"/>
      <c r="J803" s="119"/>
      <c r="K803" s="35"/>
    </row>
    <row r="804" hidden="1">
      <c r="B804" s="116"/>
      <c r="G804" s="117"/>
      <c r="H804" s="118"/>
      <c r="J804" s="119"/>
      <c r="K804" s="35"/>
    </row>
    <row r="805" hidden="1">
      <c r="B805" s="116"/>
      <c r="G805" s="117"/>
      <c r="H805" s="118"/>
      <c r="J805" s="119"/>
      <c r="K805" s="35"/>
    </row>
    <row r="806" hidden="1">
      <c r="B806" s="116"/>
      <c r="G806" s="117"/>
      <c r="H806" s="118"/>
      <c r="J806" s="119"/>
      <c r="K806" s="35"/>
    </row>
    <row r="807" hidden="1">
      <c r="B807" s="116"/>
      <c r="G807" s="117"/>
      <c r="H807" s="118"/>
      <c r="J807" s="119"/>
      <c r="K807" s="35"/>
    </row>
    <row r="808" hidden="1">
      <c r="B808" s="116"/>
      <c r="G808" s="117"/>
      <c r="H808" s="118"/>
      <c r="J808" s="119"/>
      <c r="K808" s="35"/>
    </row>
    <row r="809" hidden="1">
      <c r="B809" s="116"/>
      <c r="G809" s="117"/>
      <c r="H809" s="118"/>
      <c r="J809" s="119"/>
      <c r="K809" s="35"/>
    </row>
    <row r="810" hidden="1">
      <c r="B810" s="116"/>
      <c r="G810" s="117"/>
      <c r="H810" s="118"/>
      <c r="J810" s="119"/>
      <c r="K810" s="35"/>
    </row>
    <row r="811" hidden="1">
      <c r="B811" s="116"/>
      <c r="G811" s="117"/>
      <c r="H811" s="118"/>
      <c r="J811" s="119"/>
      <c r="K811" s="35"/>
    </row>
    <row r="812" hidden="1">
      <c r="B812" s="116"/>
      <c r="G812" s="117"/>
      <c r="H812" s="118"/>
      <c r="J812" s="119"/>
      <c r="K812" s="35"/>
    </row>
    <row r="813" hidden="1">
      <c r="B813" s="116"/>
      <c r="G813" s="117"/>
      <c r="H813" s="118"/>
      <c r="J813" s="119"/>
      <c r="K813" s="35"/>
    </row>
    <row r="814" hidden="1">
      <c r="B814" s="116"/>
      <c r="G814" s="117"/>
      <c r="H814" s="118"/>
      <c r="J814" s="119"/>
      <c r="K814" s="35"/>
    </row>
    <row r="815" hidden="1">
      <c r="B815" s="116"/>
      <c r="G815" s="117"/>
      <c r="H815" s="118"/>
      <c r="J815" s="119"/>
      <c r="K815" s="35"/>
    </row>
    <row r="816" hidden="1">
      <c r="B816" s="116"/>
      <c r="G816" s="117"/>
      <c r="H816" s="118"/>
      <c r="J816" s="119"/>
      <c r="K816" s="35"/>
    </row>
    <row r="817" hidden="1">
      <c r="B817" s="116"/>
      <c r="G817" s="117"/>
      <c r="H817" s="118"/>
      <c r="J817" s="119"/>
      <c r="K817" s="35"/>
    </row>
    <row r="818" hidden="1">
      <c r="B818" s="116"/>
      <c r="G818" s="117"/>
      <c r="H818" s="118"/>
      <c r="J818" s="119"/>
      <c r="K818" s="35"/>
    </row>
    <row r="819" hidden="1">
      <c r="B819" s="116"/>
      <c r="G819" s="117"/>
      <c r="H819" s="118"/>
      <c r="J819" s="119"/>
      <c r="K819" s="35"/>
    </row>
    <row r="820" hidden="1">
      <c r="B820" s="116"/>
      <c r="G820" s="117"/>
      <c r="H820" s="118"/>
      <c r="J820" s="119"/>
      <c r="K820" s="35"/>
    </row>
    <row r="821" hidden="1">
      <c r="B821" s="116"/>
      <c r="G821" s="117"/>
      <c r="H821" s="118"/>
      <c r="J821" s="119"/>
      <c r="K821" s="35"/>
    </row>
    <row r="822" hidden="1">
      <c r="B822" s="116"/>
      <c r="G822" s="117"/>
      <c r="H822" s="118"/>
      <c r="J822" s="119"/>
      <c r="K822" s="35"/>
    </row>
    <row r="823" hidden="1">
      <c r="B823" s="116"/>
      <c r="G823" s="117"/>
      <c r="H823" s="118"/>
      <c r="J823" s="119"/>
      <c r="K823" s="35"/>
    </row>
    <row r="824" hidden="1">
      <c r="B824" s="116"/>
      <c r="G824" s="117"/>
      <c r="H824" s="118"/>
      <c r="J824" s="119"/>
      <c r="K824" s="35"/>
    </row>
    <row r="825" hidden="1">
      <c r="B825" s="116"/>
      <c r="G825" s="117"/>
      <c r="H825" s="118"/>
      <c r="J825" s="119"/>
      <c r="K825" s="35"/>
    </row>
    <row r="826" hidden="1">
      <c r="B826" s="116"/>
      <c r="G826" s="117"/>
      <c r="H826" s="118"/>
      <c r="J826" s="119"/>
      <c r="K826" s="35"/>
    </row>
    <row r="827" hidden="1">
      <c r="B827" s="116"/>
      <c r="G827" s="117"/>
      <c r="H827" s="118"/>
      <c r="J827" s="119"/>
      <c r="K827" s="35"/>
    </row>
    <row r="828" hidden="1">
      <c r="B828" s="116"/>
      <c r="G828" s="117"/>
      <c r="H828" s="118"/>
      <c r="J828" s="119"/>
      <c r="K828" s="35"/>
    </row>
    <row r="829" hidden="1">
      <c r="B829" s="116"/>
      <c r="G829" s="117"/>
      <c r="H829" s="118"/>
      <c r="J829" s="119"/>
      <c r="K829" s="35"/>
    </row>
    <row r="830" hidden="1">
      <c r="B830" s="116"/>
      <c r="G830" s="117"/>
      <c r="H830" s="118"/>
      <c r="J830" s="119"/>
      <c r="K830" s="35"/>
    </row>
    <row r="831" hidden="1">
      <c r="B831" s="116"/>
      <c r="G831" s="117"/>
      <c r="H831" s="118"/>
      <c r="J831" s="119"/>
      <c r="K831" s="35"/>
    </row>
    <row r="832" hidden="1">
      <c r="B832" s="116"/>
      <c r="G832" s="117"/>
      <c r="H832" s="118"/>
      <c r="J832" s="119"/>
      <c r="K832" s="35"/>
    </row>
    <row r="833" hidden="1">
      <c r="B833" s="116"/>
      <c r="G833" s="117"/>
      <c r="H833" s="118"/>
      <c r="J833" s="119"/>
      <c r="K833" s="35"/>
    </row>
    <row r="834" hidden="1">
      <c r="B834" s="116"/>
      <c r="G834" s="117"/>
      <c r="H834" s="118"/>
      <c r="J834" s="119"/>
      <c r="K834" s="35"/>
    </row>
    <row r="835" hidden="1">
      <c r="B835" s="116"/>
      <c r="G835" s="117"/>
      <c r="H835" s="118"/>
      <c r="J835" s="119"/>
      <c r="K835" s="35"/>
    </row>
    <row r="836" hidden="1">
      <c r="B836" s="116"/>
      <c r="G836" s="117"/>
      <c r="H836" s="118"/>
      <c r="J836" s="119"/>
      <c r="K836" s="35"/>
    </row>
    <row r="837" hidden="1">
      <c r="B837" s="116"/>
      <c r="G837" s="117"/>
      <c r="H837" s="118"/>
      <c r="J837" s="119"/>
      <c r="K837" s="35"/>
    </row>
    <row r="838" hidden="1">
      <c r="B838" s="116"/>
      <c r="G838" s="117"/>
      <c r="H838" s="118"/>
      <c r="J838" s="119"/>
      <c r="K838" s="35"/>
    </row>
    <row r="839" hidden="1">
      <c r="B839" s="116"/>
      <c r="G839" s="117"/>
      <c r="H839" s="118"/>
      <c r="J839" s="119"/>
      <c r="K839" s="35"/>
    </row>
    <row r="840" hidden="1">
      <c r="B840" s="116"/>
      <c r="G840" s="117"/>
      <c r="H840" s="118"/>
      <c r="J840" s="119"/>
      <c r="K840" s="35"/>
    </row>
    <row r="841" hidden="1">
      <c r="B841" s="116"/>
      <c r="G841" s="117"/>
      <c r="H841" s="118"/>
      <c r="J841" s="119"/>
      <c r="K841" s="35"/>
    </row>
    <row r="842" hidden="1">
      <c r="B842" s="116"/>
      <c r="G842" s="117"/>
      <c r="H842" s="118"/>
      <c r="J842" s="119"/>
      <c r="K842" s="35"/>
    </row>
    <row r="843" hidden="1">
      <c r="B843" s="116"/>
      <c r="G843" s="117"/>
      <c r="H843" s="118"/>
      <c r="J843" s="119"/>
      <c r="K843" s="35"/>
    </row>
    <row r="844" hidden="1">
      <c r="B844" s="116"/>
      <c r="G844" s="117"/>
      <c r="H844" s="118"/>
      <c r="J844" s="119"/>
      <c r="K844" s="35"/>
    </row>
    <row r="845" hidden="1">
      <c r="B845" s="116"/>
      <c r="G845" s="117"/>
      <c r="H845" s="118"/>
      <c r="J845" s="119"/>
      <c r="K845" s="35"/>
    </row>
    <row r="846" hidden="1">
      <c r="B846" s="116"/>
      <c r="G846" s="117"/>
      <c r="H846" s="118"/>
      <c r="J846" s="119"/>
      <c r="K846" s="35"/>
    </row>
    <row r="847" hidden="1">
      <c r="B847" s="116"/>
      <c r="G847" s="117"/>
      <c r="H847" s="118"/>
      <c r="J847" s="119"/>
      <c r="K847" s="35"/>
    </row>
    <row r="848" hidden="1">
      <c r="B848" s="116"/>
      <c r="G848" s="117"/>
      <c r="H848" s="118"/>
      <c r="J848" s="119"/>
      <c r="K848" s="35"/>
    </row>
    <row r="849" hidden="1">
      <c r="B849" s="116"/>
      <c r="G849" s="117"/>
      <c r="H849" s="118"/>
      <c r="J849" s="119"/>
      <c r="K849" s="35"/>
    </row>
    <row r="850" hidden="1">
      <c r="B850" s="116"/>
      <c r="G850" s="117"/>
      <c r="H850" s="118"/>
      <c r="J850" s="119"/>
      <c r="K850" s="35"/>
    </row>
    <row r="851" hidden="1">
      <c r="B851" s="116"/>
      <c r="G851" s="117"/>
      <c r="H851" s="118"/>
      <c r="J851" s="119"/>
      <c r="K851" s="35"/>
    </row>
    <row r="852" hidden="1">
      <c r="B852" s="116"/>
      <c r="G852" s="117"/>
      <c r="H852" s="118"/>
      <c r="J852" s="119"/>
      <c r="K852" s="35"/>
    </row>
    <row r="853" hidden="1">
      <c r="B853" s="116"/>
      <c r="G853" s="117"/>
      <c r="H853" s="118"/>
      <c r="J853" s="119"/>
      <c r="K853" s="35"/>
    </row>
    <row r="854" hidden="1">
      <c r="B854" s="116"/>
      <c r="G854" s="117"/>
      <c r="H854" s="118"/>
      <c r="J854" s="119"/>
      <c r="K854" s="35"/>
    </row>
    <row r="855" hidden="1">
      <c r="B855" s="116"/>
      <c r="G855" s="117"/>
      <c r="H855" s="118"/>
      <c r="J855" s="119"/>
      <c r="K855" s="35"/>
    </row>
    <row r="856" hidden="1">
      <c r="B856" s="116"/>
      <c r="G856" s="117"/>
      <c r="H856" s="118"/>
      <c r="J856" s="119"/>
      <c r="K856" s="35"/>
    </row>
    <row r="857" hidden="1">
      <c r="B857" s="116"/>
      <c r="G857" s="117"/>
      <c r="H857" s="118"/>
      <c r="J857" s="119"/>
      <c r="K857" s="35"/>
    </row>
    <row r="858" hidden="1">
      <c r="B858" s="116"/>
      <c r="G858" s="117"/>
      <c r="H858" s="118"/>
      <c r="J858" s="119"/>
      <c r="K858" s="35"/>
    </row>
    <row r="859" hidden="1">
      <c r="B859" s="116"/>
      <c r="G859" s="117"/>
      <c r="H859" s="118"/>
      <c r="J859" s="119"/>
      <c r="K859" s="35"/>
    </row>
    <row r="860" hidden="1">
      <c r="B860" s="116"/>
      <c r="G860" s="117"/>
      <c r="H860" s="118"/>
      <c r="J860" s="119"/>
      <c r="K860" s="35"/>
    </row>
    <row r="861" hidden="1">
      <c r="B861" s="116"/>
      <c r="G861" s="117"/>
      <c r="H861" s="118"/>
      <c r="J861" s="119"/>
      <c r="K861" s="35"/>
    </row>
    <row r="862" hidden="1">
      <c r="B862" s="116"/>
      <c r="G862" s="117"/>
      <c r="H862" s="118"/>
      <c r="J862" s="119"/>
      <c r="K862" s="35"/>
    </row>
    <row r="863" hidden="1">
      <c r="B863" s="116"/>
      <c r="G863" s="117"/>
      <c r="H863" s="118"/>
      <c r="J863" s="119"/>
      <c r="K863" s="35"/>
    </row>
    <row r="864" hidden="1">
      <c r="B864" s="116"/>
      <c r="G864" s="117"/>
      <c r="H864" s="118"/>
      <c r="J864" s="119"/>
      <c r="K864" s="35"/>
    </row>
    <row r="865" hidden="1">
      <c r="B865" s="116"/>
      <c r="G865" s="117"/>
      <c r="H865" s="118"/>
      <c r="J865" s="119"/>
      <c r="K865" s="35"/>
    </row>
    <row r="866" hidden="1">
      <c r="B866" s="116"/>
      <c r="G866" s="117"/>
      <c r="H866" s="118"/>
      <c r="J866" s="119"/>
      <c r="K866" s="35"/>
    </row>
    <row r="867" hidden="1">
      <c r="B867" s="116"/>
      <c r="G867" s="117"/>
      <c r="H867" s="118"/>
      <c r="J867" s="119"/>
      <c r="K867" s="35"/>
    </row>
    <row r="868" hidden="1">
      <c r="B868" s="116"/>
      <c r="G868" s="117"/>
      <c r="H868" s="118"/>
      <c r="J868" s="119"/>
      <c r="K868" s="35"/>
    </row>
    <row r="869" hidden="1">
      <c r="B869" s="116"/>
      <c r="G869" s="117"/>
      <c r="H869" s="118"/>
      <c r="J869" s="119"/>
      <c r="K869" s="35"/>
    </row>
    <row r="870" hidden="1">
      <c r="B870" s="116"/>
      <c r="G870" s="117"/>
      <c r="H870" s="118"/>
      <c r="J870" s="119"/>
      <c r="K870" s="35"/>
    </row>
    <row r="871" hidden="1">
      <c r="B871" s="116"/>
      <c r="G871" s="117"/>
      <c r="H871" s="118"/>
      <c r="J871" s="119"/>
      <c r="K871" s="35"/>
    </row>
    <row r="872" hidden="1">
      <c r="B872" s="116"/>
      <c r="G872" s="117"/>
      <c r="H872" s="118"/>
      <c r="J872" s="119"/>
      <c r="K872" s="35"/>
    </row>
    <row r="873" hidden="1">
      <c r="B873" s="116"/>
      <c r="G873" s="117"/>
      <c r="H873" s="118"/>
      <c r="J873" s="119"/>
      <c r="K873" s="35"/>
    </row>
    <row r="874" hidden="1">
      <c r="B874" s="116"/>
      <c r="G874" s="117"/>
      <c r="H874" s="118"/>
      <c r="J874" s="119"/>
      <c r="K874" s="35"/>
    </row>
    <row r="875" hidden="1">
      <c r="B875" s="116"/>
      <c r="G875" s="117"/>
      <c r="H875" s="118"/>
      <c r="J875" s="119"/>
      <c r="K875" s="35"/>
    </row>
    <row r="876" hidden="1">
      <c r="B876" s="116"/>
      <c r="G876" s="117"/>
      <c r="H876" s="118"/>
      <c r="J876" s="119"/>
      <c r="K876" s="35"/>
    </row>
    <row r="877" hidden="1">
      <c r="B877" s="116"/>
      <c r="G877" s="117"/>
      <c r="H877" s="118"/>
      <c r="J877" s="119"/>
      <c r="K877" s="35"/>
    </row>
    <row r="878" hidden="1">
      <c r="B878" s="116"/>
      <c r="G878" s="117"/>
      <c r="H878" s="118"/>
      <c r="J878" s="119"/>
      <c r="K878" s="35"/>
    </row>
    <row r="879" hidden="1">
      <c r="B879" s="116"/>
      <c r="G879" s="117"/>
      <c r="H879" s="118"/>
      <c r="J879" s="119"/>
      <c r="K879" s="35"/>
    </row>
    <row r="880" hidden="1">
      <c r="B880" s="116"/>
      <c r="G880" s="117"/>
      <c r="H880" s="118"/>
      <c r="J880" s="119"/>
      <c r="K880" s="35"/>
    </row>
    <row r="881" hidden="1">
      <c r="B881" s="116"/>
      <c r="G881" s="117"/>
      <c r="H881" s="118"/>
      <c r="J881" s="119"/>
      <c r="K881" s="35"/>
    </row>
    <row r="882" hidden="1">
      <c r="B882" s="116"/>
      <c r="G882" s="117"/>
      <c r="H882" s="118"/>
      <c r="J882" s="119"/>
      <c r="K882" s="35"/>
    </row>
    <row r="883" hidden="1">
      <c r="B883" s="116"/>
      <c r="G883" s="117"/>
      <c r="H883" s="118"/>
      <c r="J883" s="119"/>
      <c r="K883" s="35"/>
    </row>
    <row r="884" hidden="1">
      <c r="B884" s="116"/>
      <c r="G884" s="117"/>
      <c r="H884" s="118"/>
      <c r="J884" s="119"/>
      <c r="K884" s="35"/>
    </row>
    <row r="885" hidden="1">
      <c r="B885" s="116"/>
      <c r="G885" s="117"/>
      <c r="H885" s="118"/>
      <c r="J885" s="119"/>
      <c r="K885" s="35"/>
    </row>
    <row r="886" hidden="1">
      <c r="B886" s="116"/>
      <c r="G886" s="117"/>
      <c r="H886" s="118"/>
      <c r="J886" s="119"/>
      <c r="K886" s="35"/>
    </row>
    <row r="887" hidden="1">
      <c r="B887" s="116"/>
      <c r="G887" s="117"/>
      <c r="H887" s="118"/>
      <c r="J887" s="119"/>
      <c r="K887" s="35"/>
    </row>
    <row r="888" hidden="1">
      <c r="B888" s="116"/>
      <c r="G888" s="117"/>
      <c r="H888" s="118"/>
      <c r="J888" s="119"/>
      <c r="K888" s="35"/>
    </row>
    <row r="889" hidden="1">
      <c r="B889" s="116"/>
      <c r="G889" s="117"/>
      <c r="H889" s="118"/>
      <c r="J889" s="119"/>
      <c r="K889" s="35"/>
    </row>
    <row r="890" hidden="1">
      <c r="B890" s="116"/>
      <c r="G890" s="117"/>
      <c r="H890" s="118"/>
      <c r="J890" s="119"/>
      <c r="K890" s="35"/>
    </row>
    <row r="891" hidden="1">
      <c r="B891" s="116"/>
      <c r="G891" s="117"/>
      <c r="H891" s="118"/>
      <c r="J891" s="119"/>
      <c r="K891" s="35"/>
    </row>
    <row r="892" hidden="1">
      <c r="B892" s="116"/>
      <c r="G892" s="117"/>
      <c r="H892" s="118"/>
      <c r="J892" s="119"/>
      <c r="K892" s="35"/>
    </row>
    <row r="893" hidden="1">
      <c r="B893" s="116"/>
      <c r="G893" s="117"/>
      <c r="H893" s="118"/>
      <c r="J893" s="119"/>
      <c r="K893" s="35"/>
    </row>
    <row r="894" hidden="1">
      <c r="B894" s="116"/>
      <c r="G894" s="117"/>
      <c r="H894" s="118"/>
      <c r="J894" s="119"/>
      <c r="K894" s="35"/>
    </row>
    <row r="895" hidden="1">
      <c r="B895" s="116"/>
      <c r="G895" s="117"/>
      <c r="H895" s="118"/>
      <c r="J895" s="119"/>
      <c r="K895" s="35"/>
    </row>
    <row r="896" hidden="1">
      <c r="B896" s="116"/>
      <c r="G896" s="117"/>
      <c r="H896" s="118"/>
      <c r="J896" s="119"/>
      <c r="K896" s="35"/>
    </row>
    <row r="897" hidden="1">
      <c r="B897" s="116"/>
      <c r="G897" s="117"/>
      <c r="H897" s="118"/>
      <c r="J897" s="119"/>
      <c r="K897" s="35"/>
    </row>
    <row r="898" hidden="1">
      <c r="B898" s="116"/>
      <c r="G898" s="117"/>
      <c r="H898" s="118"/>
      <c r="J898" s="119"/>
      <c r="K898" s="35"/>
    </row>
    <row r="899" hidden="1">
      <c r="B899" s="116"/>
      <c r="G899" s="117"/>
      <c r="H899" s="118"/>
      <c r="J899" s="119"/>
      <c r="K899" s="35"/>
    </row>
    <row r="900" hidden="1">
      <c r="B900" s="116"/>
      <c r="G900" s="117"/>
      <c r="H900" s="118"/>
      <c r="J900" s="119"/>
      <c r="K900" s="35"/>
    </row>
    <row r="901" hidden="1">
      <c r="B901" s="116"/>
      <c r="G901" s="117"/>
      <c r="H901" s="118"/>
      <c r="J901" s="119"/>
      <c r="K901" s="35"/>
    </row>
    <row r="902" hidden="1">
      <c r="B902" s="116"/>
      <c r="G902" s="117"/>
      <c r="H902" s="118"/>
      <c r="J902" s="119"/>
      <c r="K902" s="35"/>
    </row>
    <row r="903" hidden="1">
      <c r="B903" s="116"/>
      <c r="G903" s="117"/>
      <c r="H903" s="118"/>
      <c r="J903" s="119"/>
      <c r="K903" s="35"/>
    </row>
    <row r="904" hidden="1">
      <c r="B904" s="116"/>
      <c r="G904" s="117"/>
      <c r="H904" s="118"/>
      <c r="J904" s="119"/>
      <c r="K904" s="35"/>
    </row>
    <row r="905" hidden="1">
      <c r="B905" s="116"/>
      <c r="G905" s="117"/>
      <c r="H905" s="118"/>
      <c r="J905" s="119"/>
      <c r="K905" s="35"/>
    </row>
    <row r="906" hidden="1">
      <c r="B906" s="116"/>
      <c r="G906" s="117"/>
      <c r="H906" s="118"/>
      <c r="J906" s="119"/>
      <c r="K906" s="35"/>
    </row>
    <row r="907" hidden="1">
      <c r="B907" s="116"/>
      <c r="G907" s="117"/>
      <c r="H907" s="118"/>
      <c r="J907" s="119"/>
      <c r="K907" s="35"/>
    </row>
    <row r="908" hidden="1">
      <c r="B908" s="116"/>
      <c r="G908" s="117"/>
      <c r="H908" s="118"/>
      <c r="J908" s="119"/>
      <c r="K908" s="35"/>
    </row>
    <row r="909" hidden="1">
      <c r="B909" s="116"/>
      <c r="G909" s="117"/>
      <c r="H909" s="118"/>
      <c r="J909" s="119"/>
      <c r="K909" s="35"/>
    </row>
    <row r="910" hidden="1">
      <c r="B910" s="116"/>
      <c r="G910" s="117"/>
      <c r="H910" s="118"/>
      <c r="J910" s="119"/>
      <c r="K910" s="35"/>
    </row>
    <row r="911" hidden="1">
      <c r="B911" s="116"/>
      <c r="G911" s="117"/>
      <c r="H911" s="118"/>
      <c r="J911" s="119"/>
      <c r="K911" s="35"/>
    </row>
    <row r="912" hidden="1">
      <c r="B912" s="116"/>
      <c r="G912" s="117"/>
      <c r="H912" s="118"/>
      <c r="J912" s="119"/>
      <c r="K912" s="35"/>
    </row>
    <row r="913" hidden="1">
      <c r="B913" s="116"/>
      <c r="G913" s="117"/>
      <c r="H913" s="118"/>
      <c r="J913" s="119"/>
      <c r="K913" s="35"/>
    </row>
    <row r="914" hidden="1">
      <c r="B914" s="116"/>
      <c r="G914" s="117"/>
      <c r="H914" s="118"/>
      <c r="J914" s="119"/>
      <c r="K914" s="35"/>
    </row>
    <row r="915" hidden="1">
      <c r="B915" s="116"/>
      <c r="G915" s="117"/>
      <c r="H915" s="118"/>
      <c r="J915" s="119"/>
      <c r="K915" s="35"/>
    </row>
    <row r="916" hidden="1">
      <c r="B916" s="116"/>
      <c r="G916" s="117"/>
      <c r="H916" s="118"/>
      <c r="J916" s="119"/>
      <c r="K916" s="35"/>
    </row>
    <row r="917" hidden="1">
      <c r="B917" s="116"/>
      <c r="G917" s="117"/>
      <c r="H917" s="118"/>
      <c r="J917" s="119"/>
      <c r="K917" s="35"/>
    </row>
    <row r="918" hidden="1">
      <c r="B918" s="116"/>
      <c r="G918" s="117"/>
      <c r="H918" s="118"/>
      <c r="J918" s="119"/>
      <c r="K918" s="35"/>
    </row>
    <row r="919" hidden="1">
      <c r="B919" s="116"/>
      <c r="G919" s="117"/>
      <c r="H919" s="118"/>
      <c r="J919" s="119"/>
      <c r="K919" s="35"/>
    </row>
    <row r="920" hidden="1">
      <c r="B920" s="116"/>
      <c r="G920" s="117"/>
      <c r="H920" s="118"/>
      <c r="J920" s="119"/>
      <c r="K920" s="35"/>
    </row>
    <row r="921" hidden="1">
      <c r="B921" s="116"/>
      <c r="G921" s="117"/>
      <c r="H921" s="118"/>
      <c r="J921" s="119"/>
      <c r="K921" s="35"/>
    </row>
    <row r="922" hidden="1">
      <c r="B922" s="116"/>
      <c r="G922" s="117"/>
      <c r="H922" s="118"/>
      <c r="J922" s="119"/>
      <c r="K922" s="35"/>
    </row>
    <row r="923" hidden="1">
      <c r="B923" s="116"/>
      <c r="G923" s="117"/>
      <c r="H923" s="118"/>
      <c r="J923" s="119"/>
      <c r="K923" s="35"/>
    </row>
    <row r="924" hidden="1">
      <c r="B924" s="116"/>
      <c r="G924" s="117"/>
      <c r="H924" s="118"/>
      <c r="J924" s="119"/>
      <c r="K924" s="35"/>
    </row>
    <row r="925" hidden="1">
      <c r="B925" s="116"/>
      <c r="G925" s="117"/>
      <c r="H925" s="118"/>
      <c r="J925" s="119"/>
      <c r="K925" s="35"/>
    </row>
    <row r="926" hidden="1">
      <c r="B926" s="116"/>
      <c r="G926" s="117"/>
      <c r="H926" s="118"/>
      <c r="J926" s="119"/>
      <c r="K926" s="35"/>
    </row>
    <row r="927" hidden="1">
      <c r="B927" s="116"/>
      <c r="G927" s="117"/>
      <c r="H927" s="118"/>
      <c r="J927" s="119"/>
      <c r="K927" s="35"/>
    </row>
    <row r="928" hidden="1">
      <c r="B928" s="116"/>
      <c r="G928" s="117"/>
      <c r="H928" s="118"/>
      <c r="J928" s="119"/>
      <c r="K928" s="35"/>
    </row>
    <row r="929" hidden="1">
      <c r="B929" s="116"/>
      <c r="G929" s="117"/>
      <c r="H929" s="118"/>
      <c r="J929" s="119"/>
      <c r="K929" s="35"/>
    </row>
    <row r="930" hidden="1">
      <c r="B930" s="116"/>
      <c r="G930" s="117"/>
      <c r="H930" s="118"/>
      <c r="J930" s="119"/>
      <c r="K930" s="35"/>
    </row>
    <row r="931" hidden="1">
      <c r="B931" s="116"/>
      <c r="G931" s="117"/>
      <c r="H931" s="118"/>
      <c r="J931" s="119"/>
      <c r="K931" s="35"/>
    </row>
    <row r="932" hidden="1">
      <c r="B932" s="116"/>
      <c r="G932" s="117"/>
      <c r="H932" s="118"/>
      <c r="J932" s="119"/>
      <c r="K932" s="35"/>
    </row>
    <row r="933" hidden="1">
      <c r="B933" s="116"/>
      <c r="G933" s="117"/>
      <c r="H933" s="118"/>
      <c r="J933" s="119"/>
      <c r="K933" s="35"/>
    </row>
    <row r="934" hidden="1">
      <c r="B934" s="116"/>
      <c r="G934" s="117"/>
      <c r="H934" s="118"/>
      <c r="J934" s="119"/>
      <c r="K934" s="35"/>
    </row>
    <row r="935" hidden="1">
      <c r="B935" s="116"/>
      <c r="G935" s="117"/>
      <c r="H935" s="118"/>
      <c r="J935" s="119"/>
      <c r="K935" s="35"/>
    </row>
    <row r="936" hidden="1">
      <c r="B936" s="116"/>
      <c r="G936" s="117"/>
      <c r="H936" s="118"/>
      <c r="J936" s="119"/>
      <c r="K936" s="35"/>
    </row>
    <row r="937" hidden="1">
      <c r="B937" s="116"/>
      <c r="G937" s="117"/>
      <c r="H937" s="118"/>
      <c r="J937" s="119"/>
      <c r="K937" s="35"/>
    </row>
    <row r="938" hidden="1">
      <c r="B938" s="116"/>
      <c r="G938" s="117"/>
      <c r="H938" s="118"/>
      <c r="J938" s="119"/>
      <c r="K938" s="35"/>
    </row>
    <row r="939" hidden="1">
      <c r="B939" s="116"/>
      <c r="G939" s="117"/>
      <c r="H939" s="118"/>
      <c r="J939" s="119"/>
      <c r="K939" s="35"/>
    </row>
    <row r="940" hidden="1">
      <c r="B940" s="116"/>
      <c r="G940" s="117"/>
      <c r="H940" s="118"/>
      <c r="J940" s="119"/>
      <c r="K940" s="35"/>
    </row>
    <row r="941" hidden="1">
      <c r="B941" s="116"/>
      <c r="G941" s="117"/>
      <c r="H941" s="118"/>
      <c r="J941" s="119"/>
      <c r="K941" s="35"/>
    </row>
    <row r="942" hidden="1">
      <c r="B942" s="116"/>
      <c r="G942" s="117"/>
      <c r="H942" s="118"/>
      <c r="J942" s="119"/>
      <c r="K942" s="35"/>
    </row>
    <row r="943" hidden="1">
      <c r="B943" s="116"/>
      <c r="G943" s="117"/>
      <c r="H943" s="118"/>
      <c r="J943" s="119"/>
      <c r="K943" s="35"/>
    </row>
    <row r="944" hidden="1">
      <c r="B944" s="116"/>
      <c r="G944" s="117"/>
      <c r="H944" s="118"/>
      <c r="J944" s="119"/>
      <c r="K944" s="35"/>
    </row>
    <row r="945" hidden="1">
      <c r="B945" s="116"/>
      <c r="G945" s="117"/>
      <c r="H945" s="118"/>
      <c r="J945" s="119"/>
      <c r="K945" s="35"/>
    </row>
    <row r="946" hidden="1">
      <c r="B946" s="116"/>
      <c r="G946" s="117"/>
      <c r="H946" s="118"/>
      <c r="J946" s="119"/>
      <c r="K946" s="35"/>
    </row>
    <row r="947" hidden="1">
      <c r="B947" s="116"/>
      <c r="G947" s="117"/>
      <c r="H947" s="118"/>
      <c r="J947" s="119"/>
      <c r="K947" s="35"/>
    </row>
    <row r="948" hidden="1">
      <c r="B948" s="116"/>
      <c r="G948" s="117"/>
      <c r="H948" s="118"/>
      <c r="J948" s="119"/>
      <c r="K948" s="35"/>
    </row>
    <row r="949" hidden="1">
      <c r="B949" s="116"/>
      <c r="G949" s="117"/>
      <c r="H949" s="118"/>
      <c r="J949" s="119"/>
      <c r="K949" s="35"/>
    </row>
    <row r="950" hidden="1">
      <c r="B950" s="116"/>
      <c r="G950" s="117"/>
      <c r="H950" s="118"/>
      <c r="J950" s="119"/>
      <c r="K950" s="35"/>
    </row>
    <row r="951" hidden="1">
      <c r="B951" s="116"/>
      <c r="G951" s="117"/>
      <c r="H951" s="118"/>
      <c r="J951" s="119"/>
      <c r="K951" s="35"/>
    </row>
    <row r="952" hidden="1">
      <c r="B952" s="116"/>
      <c r="G952" s="117"/>
      <c r="H952" s="118"/>
      <c r="J952" s="119"/>
      <c r="K952" s="35"/>
    </row>
    <row r="953" hidden="1">
      <c r="B953" s="116"/>
      <c r="G953" s="117"/>
      <c r="H953" s="118"/>
      <c r="J953" s="119"/>
      <c r="K953" s="35"/>
    </row>
    <row r="954" hidden="1">
      <c r="B954" s="116"/>
      <c r="G954" s="117"/>
      <c r="H954" s="118"/>
      <c r="J954" s="119"/>
      <c r="K954" s="35"/>
    </row>
    <row r="955" hidden="1">
      <c r="B955" s="116"/>
      <c r="G955" s="117"/>
      <c r="H955" s="118"/>
      <c r="J955" s="119"/>
      <c r="K955" s="35"/>
    </row>
    <row r="956" hidden="1">
      <c r="B956" s="116"/>
      <c r="G956" s="117"/>
      <c r="H956" s="118"/>
      <c r="J956" s="119"/>
      <c r="K956" s="35"/>
    </row>
    <row r="957" hidden="1">
      <c r="B957" s="116"/>
      <c r="G957" s="117"/>
      <c r="H957" s="118"/>
      <c r="J957" s="119"/>
      <c r="K957" s="35"/>
    </row>
    <row r="958" hidden="1">
      <c r="B958" s="116"/>
      <c r="G958" s="117"/>
      <c r="H958" s="118"/>
      <c r="J958" s="119"/>
      <c r="K958" s="35"/>
    </row>
    <row r="959" hidden="1">
      <c r="B959" s="116"/>
      <c r="G959" s="117"/>
      <c r="H959" s="118"/>
      <c r="J959" s="119"/>
      <c r="K959" s="35"/>
    </row>
    <row r="960" hidden="1">
      <c r="B960" s="116"/>
      <c r="G960" s="117"/>
      <c r="H960" s="118"/>
      <c r="J960" s="119"/>
      <c r="K960" s="35"/>
    </row>
    <row r="961" hidden="1">
      <c r="B961" s="116"/>
      <c r="G961" s="117"/>
      <c r="H961" s="118"/>
      <c r="J961" s="119"/>
      <c r="K961" s="35"/>
    </row>
    <row r="962" hidden="1">
      <c r="B962" s="116"/>
      <c r="G962" s="117"/>
      <c r="H962" s="118"/>
      <c r="J962" s="119"/>
      <c r="K962" s="35"/>
    </row>
    <row r="963" hidden="1">
      <c r="B963" s="116"/>
      <c r="G963" s="117"/>
      <c r="H963" s="118"/>
      <c r="J963" s="119"/>
      <c r="K963" s="35"/>
    </row>
    <row r="964" hidden="1">
      <c r="B964" s="116"/>
      <c r="G964" s="117"/>
      <c r="H964" s="118"/>
      <c r="J964" s="119"/>
      <c r="K964" s="35"/>
    </row>
    <row r="965" hidden="1">
      <c r="B965" s="116"/>
      <c r="G965" s="117"/>
      <c r="H965" s="118"/>
      <c r="J965" s="119"/>
      <c r="K965" s="35"/>
    </row>
    <row r="966" hidden="1">
      <c r="B966" s="116"/>
      <c r="G966" s="117"/>
      <c r="H966" s="118"/>
      <c r="J966" s="119"/>
      <c r="K966" s="35"/>
    </row>
    <row r="967" hidden="1">
      <c r="B967" s="116"/>
      <c r="G967" s="117"/>
      <c r="H967" s="118"/>
      <c r="J967" s="119"/>
      <c r="K967" s="35"/>
    </row>
    <row r="968" hidden="1">
      <c r="B968" s="116"/>
      <c r="G968" s="117"/>
      <c r="H968" s="118"/>
      <c r="J968" s="119"/>
      <c r="K968" s="35"/>
    </row>
    <row r="969" hidden="1">
      <c r="B969" s="116"/>
      <c r="G969" s="117"/>
      <c r="H969" s="118"/>
      <c r="J969" s="119"/>
      <c r="K969" s="35"/>
    </row>
    <row r="970" hidden="1">
      <c r="B970" s="116"/>
      <c r="G970" s="117"/>
      <c r="H970" s="118"/>
      <c r="J970" s="119"/>
      <c r="K970" s="35"/>
    </row>
    <row r="971" hidden="1">
      <c r="B971" s="116"/>
      <c r="G971" s="117"/>
      <c r="H971" s="118"/>
      <c r="J971" s="119"/>
      <c r="K971" s="35"/>
    </row>
    <row r="972" hidden="1">
      <c r="B972" s="116"/>
      <c r="G972" s="117"/>
      <c r="H972" s="118"/>
      <c r="J972" s="119"/>
      <c r="K972" s="35"/>
    </row>
    <row r="973" hidden="1">
      <c r="B973" s="116"/>
      <c r="G973" s="117"/>
      <c r="H973" s="118"/>
      <c r="J973" s="119"/>
      <c r="K973" s="35"/>
    </row>
    <row r="974" hidden="1">
      <c r="B974" s="116"/>
      <c r="G974" s="117"/>
      <c r="H974" s="118"/>
      <c r="J974" s="119"/>
      <c r="K974" s="35"/>
    </row>
    <row r="975" hidden="1">
      <c r="B975" s="116"/>
      <c r="G975" s="117"/>
      <c r="H975" s="118"/>
      <c r="J975" s="119"/>
      <c r="K975" s="35"/>
    </row>
    <row r="976" hidden="1">
      <c r="B976" s="116"/>
      <c r="G976" s="117"/>
      <c r="H976" s="118"/>
      <c r="J976" s="119"/>
      <c r="K976" s="35"/>
    </row>
    <row r="977" hidden="1">
      <c r="B977" s="116"/>
      <c r="G977" s="117"/>
      <c r="H977" s="118"/>
      <c r="J977" s="119"/>
      <c r="K977" s="35"/>
    </row>
    <row r="978" hidden="1">
      <c r="B978" s="116"/>
      <c r="G978" s="117"/>
      <c r="H978" s="118"/>
      <c r="J978" s="119"/>
      <c r="K978" s="35"/>
    </row>
    <row r="979" hidden="1">
      <c r="B979" s="116"/>
      <c r="G979" s="117"/>
      <c r="H979" s="118"/>
      <c r="J979" s="119"/>
      <c r="K979" s="35"/>
    </row>
    <row r="980" hidden="1">
      <c r="B980" s="116"/>
      <c r="G980" s="117"/>
      <c r="H980" s="118"/>
      <c r="J980" s="119"/>
      <c r="K980" s="35"/>
    </row>
    <row r="981" hidden="1">
      <c r="B981" s="116"/>
      <c r="G981" s="117"/>
      <c r="H981" s="118"/>
      <c r="J981" s="119"/>
      <c r="K981" s="35"/>
    </row>
    <row r="982" hidden="1">
      <c r="B982" s="116"/>
      <c r="G982" s="117"/>
      <c r="H982" s="118"/>
      <c r="J982" s="119"/>
      <c r="K982" s="35"/>
    </row>
    <row r="983" hidden="1">
      <c r="B983" s="116"/>
      <c r="G983" s="117"/>
      <c r="H983" s="118"/>
      <c r="J983" s="119"/>
      <c r="K983" s="35"/>
    </row>
    <row r="984" hidden="1">
      <c r="B984" s="116"/>
      <c r="G984" s="117"/>
      <c r="H984" s="118"/>
      <c r="J984" s="119"/>
      <c r="K984" s="35"/>
    </row>
    <row r="985" hidden="1">
      <c r="B985" s="116"/>
      <c r="G985" s="117"/>
      <c r="H985" s="118"/>
      <c r="J985" s="119"/>
      <c r="K985" s="35"/>
    </row>
    <row r="986" hidden="1">
      <c r="B986" s="116"/>
      <c r="G986" s="117"/>
      <c r="H986" s="118"/>
      <c r="J986" s="119"/>
      <c r="K986" s="35"/>
    </row>
    <row r="987" hidden="1">
      <c r="B987" s="116"/>
      <c r="G987" s="117"/>
      <c r="H987" s="118"/>
      <c r="J987" s="119"/>
      <c r="K987" s="35"/>
    </row>
    <row r="988" hidden="1">
      <c r="B988" s="116"/>
      <c r="G988" s="117"/>
      <c r="H988" s="118"/>
      <c r="J988" s="119"/>
      <c r="K988" s="35"/>
    </row>
    <row r="989" hidden="1">
      <c r="B989" s="116"/>
      <c r="G989" s="117"/>
      <c r="H989" s="118"/>
      <c r="J989" s="119"/>
      <c r="K989" s="35"/>
    </row>
    <row r="990" hidden="1">
      <c r="B990" s="116"/>
      <c r="G990" s="117"/>
      <c r="H990" s="118"/>
      <c r="J990" s="119"/>
      <c r="K990" s="35"/>
    </row>
    <row r="991" hidden="1">
      <c r="B991" s="116"/>
      <c r="G991" s="117"/>
      <c r="H991" s="118"/>
      <c r="J991" s="119"/>
      <c r="K991" s="35"/>
    </row>
    <row r="992" hidden="1">
      <c r="B992" s="116"/>
      <c r="G992" s="117"/>
      <c r="H992" s="118"/>
      <c r="J992" s="119"/>
      <c r="K992" s="35"/>
    </row>
    <row r="993" hidden="1">
      <c r="B993" s="116"/>
      <c r="G993" s="117"/>
      <c r="H993" s="118"/>
      <c r="J993" s="119"/>
      <c r="K993" s="35"/>
    </row>
    <row r="994" hidden="1">
      <c r="B994" s="116"/>
      <c r="G994" s="117"/>
      <c r="H994" s="118"/>
      <c r="J994" s="119"/>
      <c r="K994" s="35"/>
    </row>
    <row r="995" hidden="1">
      <c r="B995" s="116"/>
      <c r="G995" s="117"/>
      <c r="H995" s="118"/>
      <c r="J995" s="119"/>
      <c r="K995" s="35"/>
    </row>
    <row r="996" hidden="1">
      <c r="B996" s="116"/>
      <c r="G996" s="117"/>
      <c r="H996" s="118"/>
      <c r="J996" s="119"/>
      <c r="K996" s="35"/>
    </row>
    <row r="997" hidden="1">
      <c r="B997" s="116"/>
      <c r="G997" s="117"/>
      <c r="H997" s="118"/>
      <c r="J997" s="119"/>
      <c r="K997" s="35"/>
    </row>
    <row r="998" hidden="1">
      <c r="B998" s="116"/>
      <c r="G998" s="117"/>
      <c r="H998" s="118"/>
      <c r="J998" s="119"/>
      <c r="K998" s="35"/>
    </row>
    <row r="999" hidden="1">
      <c r="B999" s="116"/>
      <c r="G999" s="117"/>
      <c r="H999" s="118"/>
      <c r="J999" s="119"/>
      <c r="K999" s="35"/>
    </row>
    <row r="1000" hidden="1">
      <c r="B1000" s="116"/>
      <c r="G1000" s="117"/>
      <c r="H1000" s="118"/>
      <c r="J1000" s="119"/>
      <c r="K1000" s="35"/>
    </row>
    <row r="1001" hidden="1">
      <c r="B1001" s="116"/>
      <c r="G1001" s="117"/>
      <c r="H1001" s="118"/>
      <c r="J1001" s="119"/>
      <c r="K1001" s="35"/>
    </row>
    <row r="1002" hidden="1">
      <c r="B1002" s="116"/>
      <c r="G1002" s="117"/>
      <c r="H1002" s="118"/>
      <c r="J1002" s="119"/>
      <c r="K1002" s="35"/>
    </row>
    <row r="1003" hidden="1">
      <c r="B1003" s="116"/>
      <c r="G1003" s="117"/>
      <c r="H1003" s="118"/>
      <c r="J1003" s="119"/>
      <c r="K1003" s="35"/>
    </row>
    <row r="1004" hidden="1">
      <c r="B1004" s="116"/>
      <c r="G1004" s="117"/>
      <c r="H1004" s="118"/>
      <c r="J1004" s="119"/>
      <c r="K1004" s="35"/>
    </row>
    <row r="1005" hidden="1">
      <c r="B1005" s="116"/>
      <c r="G1005" s="117"/>
      <c r="H1005" s="118"/>
      <c r="J1005" s="119"/>
      <c r="K1005" s="35"/>
    </row>
    <row r="1006" hidden="1">
      <c r="B1006" s="116"/>
      <c r="G1006" s="117"/>
      <c r="H1006" s="118"/>
      <c r="J1006" s="119"/>
      <c r="K1006" s="35"/>
    </row>
    <row r="1007" hidden="1">
      <c r="B1007" s="116"/>
      <c r="G1007" s="117"/>
      <c r="H1007" s="118"/>
      <c r="J1007" s="119"/>
      <c r="K1007" s="35"/>
    </row>
    <row r="1008" hidden="1">
      <c r="B1008" s="116"/>
      <c r="G1008" s="117"/>
      <c r="H1008" s="118"/>
      <c r="J1008" s="119"/>
      <c r="K1008" s="35"/>
    </row>
    <row r="1009" hidden="1">
      <c r="B1009" s="116"/>
      <c r="G1009" s="117"/>
      <c r="H1009" s="118"/>
      <c r="J1009" s="119"/>
      <c r="K1009" s="35"/>
    </row>
    <row r="1010" hidden="1">
      <c r="B1010" s="116"/>
      <c r="G1010" s="117"/>
      <c r="H1010" s="118"/>
      <c r="J1010" s="119"/>
      <c r="K1010" s="35"/>
    </row>
    <row r="1011" hidden="1">
      <c r="B1011" s="116"/>
      <c r="G1011" s="117"/>
      <c r="H1011" s="118"/>
      <c r="J1011" s="119"/>
      <c r="K1011" s="35"/>
    </row>
    <row r="1012" hidden="1">
      <c r="B1012" s="116"/>
      <c r="G1012" s="117"/>
      <c r="H1012" s="118"/>
      <c r="J1012" s="119"/>
      <c r="K1012" s="35"/>
    </row>
    <row r="1013" hidden="1">
      <c r="B1013" s="116"/>
      <c r="G1013" s="117"/>
      <c r="H1013" s="118"/>
      <c r="J1013" s="119"/>
      <c r="K1013" s="35"/>
    </row>
    <row r="1014" hidden="1">
      <c r="B1014" s="116"/>
      <c r="G1014" s="117"/>
      <c r="H1014" s="118"/>
      <c r="J1014" s="119"/>
      <c r="K1014" s="35"/>
    </row>
    <row r="1015" hidden="1">
      <c r="B1015" s="116"/>
      <c r="G1015" s="117"/>
      <c r="H1015" s="118"/>
      <c r="J1015" s="119"/>
      <c r="K1015" s="35"/>
    </row>
    <row r="1016" hidden="1">
      <c r="B1016" s="116"/>
      <c r="G1016" s="117"/>
      <c r="H1016" s="118"/>
      <c r="J1016" s="119"/>
      <c r="K1016" s="35"/>
    </row>
    <row r="1017" hidden="1">
      <c r="B1017" s="116"/>
      <c r="G1017" s="117"/>
      <c r="H1017" s="118"/>
      <c r="J1017" s="119"/>
      <c r="K1017" s="35"/>
    </row>
    <row r="1018" hidden="1">
      <c r="B1018" s="116"/>
      <c r="G1018" s="117"/>
      <c r="H1018" s="118"/>
      <c r="J1018" s="119"/>
      <c r="K1018" s="35"/>
    </row>
    <row r="1019" hidden="1">
      <c r="B1019" s="116"/>
      <c r="G1019" s="117"/>
      <c r="H1019" s="118"/>
      <c r="J1019" s="119"/>
      <c r="K1019" s="35"/>
    </row>
    <row r="1020" hidden="1">
      <c r="B1020" s="116"/>
      <c r="G1020" s="117"/>
      <c r="H1020" s="118"/>
      <c r="J1020" s="119"/>
      <c r="K1020" s="35"/>
    </row>
    <row r="1021" hidden="1">
      <c r="B1021" s="116"/>
      <c r="G1021" s="117"/>
      <c r="H1021" s="118"/>
      <c r="J1021" s="119"/>
      <c r="K1021" s="35"/>
    </row>
    <row r="1022" hidden="1">
      <c r="B1022" s="116"/>
      <c r="G1022" s="117"/>
      <c r="H1022" s="118"/>
      <c r="J1022" s="119"/>
      <c r="K1022" s="35"/>
    </row>
    <row r="1023" hidden="1">
      <c r="B1023" s="116"/>
      <c r="G1023" s="117"/>
      <c r="H1023" s="118"/>
      <c r="J1023" s="119"/>
      <c r="K1023" s="35"/>
    </row>
    <row r="1024" hidden="1">
      <c r="B1024" s="116"/>
      <c r="G1024" s="117"/>
      <c r="H1024" s="118"/>
      <c r="J1024" s="119"/>
      <c r="K1024" s="35"/>
    </row>
    <row r="1025" hidden="1">
      <c r="B1025" s="116"/>
      <c r="G1025" s="117"/>
      <c r="H1025" s="118"/>
      <c r="J1025" s="119"/>
      <c r="K1025" s="35"/>
    </row>
    <row r="1026" hidden="1">
      <c r="B1026" s="116"/>
      <c r="G1026" s="117"/>
      <c r="H1026" s="118"/>
      <c r="J1026" s="119"/>
      <c r="K1026" s="35"/>
    </row>
    <row r="1027" hidden="1">
      <c r="B1027" s="116"/>
      <c r="G1027" s="117"/>
      <c r="H1027" s="118"/>
      <c r="J1027" s="119"/>
      <c r="K1027" s="35"/>
    </row>
  </sheetData>
  <autoFilter ref="$A$1:$J$1027">
    <filterColumn colId="3">
      <filters>
        <filter val="Mandato"/>
      </filters>
    </filterColumn>
  </autoFilter>
  <hyperlinks>
    <hyperlink r:id="rId1" ref="I2"/>
    <hyperlink r:id="rId2" ref="N2"/>
    <hyperlink r:id="rId3" ref="I3"/>
    <hyperlink r:id="rId4" ref="N3"/>
    <hyperlink r:id="rId5" ref="N4"/>
    <hyperlink r:id="rId6" ref="I5"/>
    <hyperlink r:id="rId7" ref="N5"/>
    <hyperlink r:id="rId8" ref="I6"/>
    <hyperlink r:id="rId9" ref="N6"/>
    <hyperlink r:id="rId10" ref="I7"/>
    <hyperlink r:id="rId11" ref="N7"/>
    <hyperlink r:id="rId12" ref="I8"/>
    <hyperlink r:id="rId13" ref="N8"/>
    <hyperlink r:id="rId14" ref="N9"/>
    <hyperlink r:id="rId15" ref="N10"/>
    <hyperlink r:id="rId16" ref="N11"/>
    <hyperlink r:id="rId17" ref="I12"/>
    <hyperlink r:id="rId18" ref="N12"/>
    <hyperlink r:id="rId19" ref="I13"/>
    <hyperlink r:id="rId20" ref="N13"/>
    <hyperlink r:id="rId21" ref="N14"/>
    <hyperlink r:id="rId22" ref="N15"/>
    <hyperlink r:id="rId23" ref="N16"/>
    <hyperlink r:id="rId24" ref="N17"/>
    <hyperlink r:id="rId25" ref="I18"/>
    <hyperlink r:id="rId26" ref="N18"/>
    <hyperlink r:id="rId27" ref="I19"/>
    <hyperlink r:id="rId28" ref="N19"/>
    <hyperlink r:id="rId29" ref="N20"/>
    <hyperlink r:id="rId30" ref="N21"/>
    <hyperlink r:id="rId31" ref="N22"/>
    <hyperlink r:id="rId32" ref="I23"/>
    <hyperlink r:id="rId33" ref="I24"/>
    <hyperlink r:id="rId34" ref="I28"/>
    <hyperlink r:id="rId35" ref="I29"/>
    <hyperlink r:id="rId36" ref="I33"/>
    <hyperlink r:id="rId37" ref="I34"/>
    <hyperlink r:id="rId38" ref="I38"/>
    <hyperlink r:id="rId39" ref="I39"/>
    <hyperlink r:id="rId40" ref="I43"/>
    <hyperlink r:id="rId41" ref="I44"/>
    <hyperlink r:id="rId42" ref="I48"/>
    <hyperlink r:id="rId43" ref="I49"/>
    <hyperlink r:id="rId44" ref="I54"/>
    <hyperlink r:id="rId45" ref="I55"/>
    <hyperlink r:id="rId46" ref="I60"/>
    <hyperlink r:id="rId47" ref="I61"/>
    <hyperlink r:id="rId48" ref="I66"/>
    <hyperlink r:id="rId49" ref="I67"/>
    <hyperlink r:id="rId50" ref="I71"/>
    <hyperlink r:id="rId51" ref="I72"/>
    <hyperlink r:id="rId52" ref="I76"/>
    <hyperlink r:id="rId53" ref="I77"/>
    <hyperlink r:id="rId54" ref="I82"/>
    <hyperlink r:id="rId55" ref="I83"/>
    <hyperlink r:id="rId56" ref="I89"/>
    <hyperlink r:id="rId57" ref="I90"/>
    <hyperlink r:id="rId58" ref="I94"/>
    <hyperlink r:id="rId59" ref="I95"/>
    <hyperlink r:id="rId60" ref="I99"/>
    <hyperlink r:id="rId61" ref="I100"/>
    <hyperlink r:id="rId62" ref="I106"/>
    <hyperlink r:id="rId63" ref="I107"/>
    <hyperlink r:id="rId64" ref="I111"/>
    <hyperlink r:id="rId65" ref="I112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hidden="1" min="2" max="2" width="31.14"/>
    <col customWidth="1" hidden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hidden="1" min="9" max="9" width="27.57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0" t="s">
        <v>53</v>
      </c>
      <c r="C1" s="11" t="s">
        <v>54</v>
      </c>
      <c r="D1" s="12" t="s">
        <v>55</v>
      </c>
      <c r="E1" s="13" t="s">
        <v>56</v>
      </c>
      <c r="F1" s="12" t="s">
        <v>57</v>
      </c>
      <c r="G1" s="14" t="s">
        <v>58</v>
      </c>
      <c r="H1" s="15" t="s">
        <v>59</v>
      </c>
      <c r="I1" s="16" t="s">
        <v>60</v>
      </c>
      <c r="J1" s="17" t="s">
        <v>61</v>
      </c>
      <c r="K1" s="18"/>
      <c r="L1" s="19" t="s">
        <v>62</v>
      </c>
      <c r="M1" s="19" t="s">
        <v>52</v>
      </c>
      <c r="N1" s="19" t="s">
        <v>63</v>
      </c>
      <c r="O1" s="20" t="s">
        <v>59</v>
      </c>
      <c r="P1" s="21"/>
      <c r="Q1" s="22" t="s">
        <v>64</v>
      </c>
      <c r="R1" s="23">
        <v>46092.0</v>
      </c>
      <c r="S1" s="22" t="s">
        <v>65</v>
      </c>
      <c r="T1" s="24" t="s">
        <v>142</v>
      </c>
      <c r="U1" s="25" t="s">
        <v>67</v>
      </c>
      <c r="V1" s="24">
        <v>522.0</v>
      </c>
      <c r="W1" s="21"/>
      <c r="X1" s="21"/>
      <c r="Y1" s="21"/>
      <c r="Z1" s="21"/>
    </row>
    <row r="2">
      <c r="A2" s="28" t="s">
        <v>2</v>
      </c>
      <c r="B2" s="27" t="s">
        <v>68</v>
      </c>
      <c r="C2" s="28" t="s">
        <v>58</v>
      </c>
      <c r="D2" s="29" t="s">
        <v>69</v>
      </c>
      <c r="E2" s="30" t="s">
        <v>70</v>
      </c>
      <c r="F2" s="135" t="s">
        <v>71</v>
      </c>
      <c r="G2" s="146">
        <f>SUMIFS('Febrero Data'!C:C,'Febrero Data'!A:A,B2,'Febrero Data'!B:B,F2)</f>
        <v>3765456</v>
      </c>
      <c r="H2" s="32" t="str">
        <f>VLOOKUP(B2,'Febrero Data'!A:D,4,FALSE)</f>
        <v>UESP1526</v>
      </c>
      <c r="I2" s="33" t="s">
        <v>3</v>
      </c>
      <c r="J2" s="85">
        <f>V1</f>
        <v>522</v>
      </c>
      <c r="K2" s="35"/>
      <c r="L2" s="36" t="b">
        <v>1</v>
      </c>
      <c r="M2" s="37" t="s">
        <v>2</v>
      </c>
      <c r="N2" s="38" t="s">
        <v>3</v>
      </c>
      <c r="O2" s="37"/>
    </row>
    <row r="3">
      <c r="A3" s="41" t="s">
        <v>2</v>
      </c>
      <c r="B3" s="40" t="s">
        <v>68</v>
      </c>
      <c r="C3" s="41" t="s">
        <v>72</v>
      </c>
      <c r="D3" s="42" t="s">
        <v>69</v>
      </c>
      <c r="E3" s="43" t="s">
        <v>70</v>
      </c>
      <c r="F3" s="56" t="s">
        <v>73</v>
      </c>
      <c r="G3" s="147">
        <f>SUMIFS('Febrero Data'!C:C,'Febrero Data'!A:A,B3,'Febrero Data'!B:B,F3)</f>
        <v>153874.2</v>
      </c>
      <c r="H3" s="45" t="str">
        <f>VLOOKUP(B3,'Febrero Data'!A:D,4,FALSE)</f>
        <v>UESP1526</v>
      </c>
      <c r="I3" s="46" t="s">
        <v>3</v>
      </c>
      <c r="J3" s="79"/>
      <c r="K3" s="35"/>
      <c r="L3" s="36" t="b">
        <v>1</v>
      </c>
      <c r="M3" s="127"/>
      <c r="N3" s="36"/>
      <c r="O3" s="37"/>
    </row>
    <row r="4">
      <c r="A4" s="50" t="s">
        <v>2</v>
      </c>
      <c r="B4" s="40" t="s">
        <v>68</v>
      </c>
      <c r="C4" s="41" t="s">
        <v>72</v>
      </c>
      <c r="D4" s="50" t="s">
        <v>69</v>
      </c>
      <c r="E4" s="51" t="s">
        <v>70</v>
      </c>
      <c r="F4" s="50" t="s">
        <v>74</v>
      </c>
      <c r="G4" s="52">
        <f>G2+G3</f>
        <v>3919330.2</v>
      </c>
      <c r="H4" s="53" t="str">
        <f>VLOOKUP(B4,'Febrero Data'!A:D,4,FALSE)</f>
        <v>UESP1526</v>
      </c>
      <c r="I4" s="54"/>
      <c r="J4" s="78"/>
      <c r="K4" s="35"/>
      <c r="L4" s="36" t="b">
        <v>1</v>
      </c>
      <c r="M4" s="37" t="s">
        <v>4</v>
      </c>
      <c r="N4" s="38" t="s">
        <v>5</v>
      </c>
      <c r="O4" s="37"/>
    </row>
    <row r="5">
      <c r="A5" s="39" t="s">
        <v>2</v>
      </c>
      <c r="B5" s="40" t="s">
        <v>68</v>
      </c>
      <c r="C5" s="41" t="s">
        <v>59</v>
      </c>
      <c r="D5" s="56" t="s">
        <v>59</v>
      </c>
      <c r="E5" s="43" t="s">
        <v>70</v>
      </c>
      <c r="F5" s="41" t="s">
        <v>75</v>
      </c>
      <c r="G5" s="44">
        <f>G4*5%</f>
        <v>195966.51</v>
      </c>
      <c r="H5" s="45" t="str">
        <f>VLOOKUP(B5,'Febrero Data'!A:D,4,FALSE)</f>
        <v>UESP1526</v>
      </c>
      <c r="I5" s="33" t="s">
        <v>3</v>
      </c>
      <c r="J5" s="79"/>
      <c r="K5" s="35"/>
      <c r="L5" s="36" t="b">
        <v>1</v>
      </c>
      <c r="M5" s="37" t="s">
        <v>6</v>
      </c>
      <c r="N5" s="38" t="s">
        <v>7</v>
      </c>
      <c r="O5" s="37"/>
    </row>
    <row r="6">
      <c r="A6" s="39" t="s">
        <v>2</v>
      </c>
      <c r="B6" s="40" t="s">
        <v>68</v>
      </c>
      <c r="C6" s="41" t="s">
        <v>59</v>
      </c>
      <c r="D6" s="56" t="s">
        <v>59</v>
      </c>
      <c r="E6" s="43" t="s">
        <v>70</v>
      </c>
      <c r="F6" s="41" t="s">
        <v>58</v>
      </c>
      <c r="G6" s="44">
        <f>G5</f>
        <v>195966.51</v>
      </c>
      <c r="H6" s="45" t="str">
        <f>VLOOKUP(B6,'Febrero Data'!A:D,4,FALSE)</f>
        <v>UESP1526</v>
      </c>
      <c r="I6" s="57" t="s">
        <v>3</v>
      </c>
      <c r="J6" s="79"/>
      <c r="K6" s="35"/>
      <c r="L6" s="36" t="b">
        <v>1</v>
      </c>
      <c r="M6" s="37" t="s">
        <v>10</v>
      </c>
      <c r="N6" s="38" t="s">
        <v>11</v>
      </c>
      <c r="O6" s="37"/>
    </row>
    <row r="7" hidden="1">
      <c r="A7" s="28" t="s">
        <v>38</v>
      </c>
      <c r="B7" s="27" t="s">
        <v>76</v>
      </c>
      <c r="C7" s="28" t="s">
        <v>58</v>
      </c>
      <c r="D7" s="29" t="s">
        <v>69</v>
      </c>
      <c r="E7" s="30" t="s">
        <v>77</v>
      </c>
      <c r="F7" s="28" t="s">
        <v>71</v>
      </c>
      <c r="G7" s="31">
        <f>SUMIFS('Febrero Data'!C:C,'Febrero Data'!A:A,B7,'Febrero Data'!B:B,F7)</f>
        <v>0</v>
      </c>
      <c r="H7" s="32" t="str">
        <f>VLOOKUP(B7,'Febrero Data'!A:D,4,FALSE)</f>
        <v>#N/A</v>
      </c>
      <c r="I7" s="33" t="s">
        <v>39</v>
      </c>
      <c r="J7" s="106">
        <f>J2</f>
        <v>522</v>
      </c>
      <c r="K7" s="35"/>
      <c r="L7" s="36" t="b">
        <v>1</v>
      </c>
      <c r="O7" s="37"/>
    </row>
    <row r="8" hidden="1">
      <c r="A8" s="41" t="s">
        <v>38</v>
      </c>
      <c r="B8" s="40" t="s">
        <v>76</v>
      </c>
      <c r="C8" s="41" t="s">
        <v>72</v>
      </c>
      <c r="D8" s="42" t="s">
        <v>69</v>
      </c>
      <c r="E8" s="43" t="s">
        <v>77</v>
      </c>
      <c r="F8" s="41" t="s">
        <v>73</v>
      </c>
      <c r="G8" s="44">
        <f>SUMIFS('Febrero Data'!C:C,'Febrero Data'!A:A,B8,'Febrero Data'!B:B,F8)</f>
        <v>0</v>
      </c>
      <c r="H8" s="45" t="str">
        <f>VLOOKUP(B8,'Febrero Data'!A:D,4,FALSE)</f>
        <v>#N/A</v>
      </c>
      <c r="I8" s="46" t="s">
        <v>39</v>
      </c>
      <c r="J8" s="79"/>
      <c r="K8" s="35"/>
      <c r="L8" s="36" t="b">
        <v>1</v>
      </c>
      <c r="O8" s="37"/>
    </row>
    <row r="9" hidden="1">
      <c r="A9" s="50" t="s">
        <v>38</v>
      </c>
      <c r="B9" s="40" t="s">
        <v>76</v>
      </c>
      <c r="C9" s="41" t="s">
        <v>72</v>
      </c>
      <c r="D9" s="50" t="s">
        <v>69</v>
      </c>
      <c r="E9" s="51" t="s">
        <v>77</v>
      </c>
      <c r="F9" s="50" t="s">
        <v>74</v>
      </c>
      <c r="G9" s="52">
        <f>G8+G7</f>
        <v>0</v>
      </c>
      <c r="H9" s="53" t="str">
        <f>VLOOKUP(B9,'Febrero Data'!A:D,4,FALSE)</f>
        <v>#N/A</v>
      </c>
      <c r="I9" s="54"/>
      <c r="J9" s="78"/>
      <c r="K9" s="35"/>
      <c r="L9" s="36" t="b">
        <v>1</v>
      </c>
      <c r="O9" s="37"/>
    </row>
    <row r="10" hidden="1">
      <c r="A10" s="60" t="s">
        <v>38</v>
      </c>
      <c r="B10" s="40" t="s">
        <v>76</v>
      </c>
      <c r="C10" s="41" t="s">
        <v>59</v>
      </c>
      <c r="D10" s="56" t="s">
        <v>59</v>
      </c>
      <c r="E10" s="43" t="s">
        <v>77</v>
      </c>
      <c r="F10" s="41" t="s">
        <v>75</v>
      </c>
      <c r="G10" s="44">
        <f>G9*5%</f>
        <v>0</v>
      </c>
      <c r="H10" s="45" t="str">
        <f>VLOOKUP(B10,'Febrero Data'!A:D,4,FALSE)</f>
        <v>#N/A</v>
      </c>
      <c r="I10" s="54"/>
      <c r="J10" s="79"/>
      <c r="K10" s="35"/>
      <c r="L10" s="36" t="b">
        <v>1</v>
      </c>
      <c r="O10" s="37"/>
    </row>
    <row r="11" hidden="1">
      <c r="A11" s="60" t="s">
        <v>38</v>
      </c>
      <c r="B11" s="40" t="s">
        <v>76</v>
      </c>
      <c r="C11" s="41" t="s">
        <v>59</v>
      </c>
      <c r="D11" s="56" t="s">
        <v>59</v>
      </c>
      <c r="E11" s="43" t="s">
        <v>77</v>
      </c>
      <c r="F11" s="41" t="s">
        <v>58</v>
      </c>
      <c r="G11" s="62">
        <f>G10</f>
        <v>0</v>
      </c>
      <c r="H11" s="45" t="str">
        <f>VLOOKUP(B11,'Febrero Data'!A:D,4,FALSE)</f>
        <v>#N/A</v>
      </c>
      <c r="I11" s="54"/>
      <c r="J11" s="79"/>
      <c r="K11" s="35"/>
      <c r="L11" s="36" t="b">
        <v>1</v>
      </c>
      <c r="O11" s="37"/>
    </row>
    <row r="12">
      <c r="A12" s="28" t="s">
        <v>4</v>
      </c>
      <c r="B12" s="27" t="s">
        <v>78</v>
      </c>
      <c r="C12" s="28" t="s">
        <v>58</v>
      </c>
      <c r="D12" s="29" t="s">
        <v>69</v>
      </c>
      <c r="E12" s="30" t="s">
        <v>79</v>
      </c>
      <c r="F12" s="135" t="s">
        <v>71</v>
      </c>
      <c r="G12" s="146">
        <f>SUMIFS('Febrero Data'!C:C,'Febrero Data'!A:A,B12,'Febrero Data'!B:B,F12)</f>
        <v>3089496</v>
      </c>
      <c r="H12" s="63" t="str">
        <f>VLOOKUP(B12,'Febrero Data'!A:D,4,FALSE)</f>
        <v>UESP1534</v>
      </c>
      <c r="I12" s="64" t="s">
        <v>5</v>
      </c>
      <c r="J12" s="85">
        <f>J2+1</f>
        <v>523</v>
      </c>
      <c r="K12" s="35"/>
      <c r="L12" s="36" t="b">
        <v>1</v>
      </c>
      <c r="M12" s="37" t="s">
        <v>12</v>
      </c>
      <c r="N12" s="38" t="s">
        <v>13</v>
      </c>
      <c r="O12" s="37"/>
    </row>
    <row r="13">
      <c r="A13" s="41" t="s">
        <v>4</v>
      </c>
      <c r="B13" s="40" t="s">
        <v>78</v>
      </c>
      <c r="C13" s="41" t="s">
        <v>72</v>
      </c>
      <c r="D13" s="42" t="s">
        <v>69</v>
      </c>
      <c r="E13" s="43" t="s">
        <v>79</v>
      </c>
      <c r="F13" s="56" t="s">
        <v>73</v>
      </c>
      <c r="G13" s="147">
        <f>SUMIFS('Febrero Data'!C:C,'Febrero Data'!A:A,B13,'Febrero Data'!B:B,F13)</f>
        <v>15425.21</v>
      </c>
      <c r="H13" s="66" t="str">
        <f>VLOOKUP(B13,'Febrero Data'!A:D,4,FALSE)</f>
        <v>UESP1534</v>
      </c>
      <c r="I13" s="67" t="s">
        <v>5</v>
      </c>
      <c r="J13" s="79"/>
      <c r="K13" s="35"/>
      <c r="L13" s="36" t="b">
        <v>1</v>
      </c>
      <c r="M13" s="37" t="s">
        <v>40</v>
      </c>
      <c r="N13" s="38" t="s">
        <v>41</v>
      </c>
      <c r="O13" s="37"/>
    </row>
    <row r="14">
      <c r="A14" s="71" t="s">
        <v>4</v>
      </c>
      <c r="B14" s="70" t="s">
        <v>78</v>
      </c>
      <c r="C14" s="71" t="s">
        <v>72</v>
      </c>
      <c r="D14" s="72" t="s">
        <v>69</v>
      </c>
      <c r="E14" s="73"/>
      <c r="F14" s="81" t="s">
        <v>80</v>
      </c>
      <c r="G14" s="148">
        <f>(G12+G13)*4%</f>
        <v>124196.8484</v>
      </c>
      <c r="H14" s="66" t="str">
        <f>VLOOKUP(B14,'Febrero Data'!A:D,4,FALSE)</f>
        <v>UESP1534</v>
      </c>
      <c r="I14" s="71"/>
      <c r="J14" s="83"/>
      <c r="K14" s="35"/>
      <c r="L14" s="36" t="b">
        <v>1</v>
      </c>
      <c r="M14" s="37" t="s">
        <v>14</v>
      </c>
      <c r="N14" s="38" t="s">
        <v>15</v>
      </c>
      <c r="O14" s="37"/>
    </row>
    <row r="15">
      <c r="A15" s="50" t="s">
        <v>4</v>
      </c>
      <c r="B15" s="40" t="s">
        <v>78</v>
      </c>
      <c r="C15" s="41" t="s">
        <v>72</v>
      </c>
      <c r="D15" s="50" t="s">
        <v>69</v>
      </c>
      <c r="E15" s="51" t="s">
        <v>79</v>
      </c>
      <c r="F15" s="50" t="s">
        <v>74</v>
      </c>
      <c r="G15" s="52">
        <f>G12+G13-G14</f>
        <v>2980724.362</v>
      </c>
      <c r="H15" s="53" t="str">
        <f>VLOOKUP(B15,'Febrero Data'!A:D,4,FALSE)</f>
        <v>UESP1534</v>
      </c>
      <c r="I15" s="54"/>
      <c r="J15" s="78"/>
      <c r="K15" s="35"/>
      <c r="L15" s="36" t="b">
        <v>1</v>
      </c>
      <c r="M15" s="37" t="s">
        <v>16</v>
      </c>
      <c r="N15" s="38" t="s">
        <v>17</v>
      </c>
      <c r="O15" s="37"/>
    </row>
    <row r="16">
      <c r="A16" s="37" t="s">
        <v>4</v>
      </c>
      <c r="B16" s="40" t="s">
        <v>78</v>
      </c>
      <c r="C16" s="41" t="s">
        <v>59</v>
      </c>
      <c r="D16" s="56" t="s">
        <v>59</v>
      </c>
      <c r="E16" s="43" t="s">
        <v>79</v>
      </c>
      <c r="F16" s="41" t="s">
        <v>75</v>
      </c>
      <c r="G16" s="44">
        <f>G15*5%</f>
        <v>149036.2181</v>
      </c>
      <c r="H16" s="45" t="str">
        <f>VLOOKUP(B16,'Febrero Data'!A:D,4,FALSE)</f>
        <v>UESP1534</v>
      </c>
      <c r="I16" s="54"/>
      <c r="J16" s="79"/>
      <c r="K16" s="35"/>
      <c r="L16" s="36" t="b">
        <v>1</v>
      </c>
      <c r="M16" s="37" t="s">
        <v>42</v>
      </c>
      <c r="N16" s="38" t="s">
        <v>43</v>
      </c>
      <c r="O16" s="37"/>
    </row>
    <row r="17">
      <c r="A17" s="80" t="s">
        <v>4</v>
      </c>
      <c r="B17" s="70" t="s">
        <v>78</v>
      </c>
      <c r="C17" s="71" t="s">
        <v>59</v>
      </c>
      <c r="D17" s="81" t="s">
        <v>59</v>
      </c>
      <c r="E17" s="73" t="s">
        <v>79</v>
      </c>
      <c r="F17" s="71" t="s">
        <v>58</v>
      </c>
      <c r="G17" s="62">
        <f>G16</f>
        <v>149036.2181</v>
      </c>
      <c r="H17" s="82" t="str">
        <f>VLOOKUP(B17,'Febrero Data'!A:D,4,FALSE)</f>
        <v>UESP1534</v>
      </c>
      <c r="I17" s="54"/>
      <c r="J17" s="83"/>
      <c r="K17" s="35"/>
      <c r="L17" s="36" t="b">
        <v>1</v>
      </c>
      <c r="M17" s="37" t="s">
        <v>18</v>
      </c>
      <c r="N17" s="38" t="s">
        <v>19</v>
      </c>
      <c r="O17" s="37"/>
    </row>
    <row r="18" ht="16.5" customHeight="1">
      <c r="A18" s="28" t="s">
        <v>6</v>
      </c>
      <c r="B18" s="27" t="s">
        <v>135</v>
      </c>
      <c r="C18" s="28" t="s">
        <v>58</v>
      </c>
      <c r="D18" s="29" t="s">
        <v>69</v>
      </c>
      <c r="E18" s="30" t="s">
        <v>82</v>
      </c>
      <c r="F18" s="135" t="s">
        <v>71</v>
      </c>
      <c r="G18" s="146">
        <f>SUMIFS('Febrero Data'!C:C,'Febrero Data'!A:A,B18,'Febrero Data'!B:B,F18)</f>
        <v>4884847</v>
      </c>
      <c r="H18" s="32" t="str">
        <f>VLOOKUP(B18,'Febrero Data'!A:D,4,FALSE)</f>
        <v>UESP1528</v>
      </c>
      <c r="I18" s="33" t="s">
        <v>7</v>
      </c>
      <c r="J18" s="85">
        <f>J12+1</f>
        <v>524</v>
      </c>
      <c r="K18" s="35"/>
      <c r="L18" s="36" t="b">
        <v>1</v>
      </c>
      <c r="M18" s="37" t="s">
        <v>20</v>
      </c>
      <c r="N18" s="38" t="s">
        <v>21</v>
      </c>
      <c r="O18" s="37"/>
    </row>
    <row r="19" ht="16.5" customHeight="1">
      <c r="A19" s="71" t="s">
        <v>6</v>
      </c>
      <c r="B19" s="70" t="s">
        <v>135</v>
      </c>
      <c r="C19" s="71" t="s">
        <v>72</v>
      </c>
      <c r="D19" s="72" t="s">
        <v>69</v>
      </c>
      <c r="E19" s="73" t="s">
        <v>82</v>
      </c>
      <c r="F19" s="81" t="s">
        <v>73</v>
      </c>
      <c r="G19" s="148">
        <f>SUMIFS('Febrero Data'!C:C,'Febrero Data'!A:A,B19,'Febrero Data'!B:B,F19)</f>
        <v>3515.89</v>
      </c>
      <c r="H19" s="82" t="str">
        <f>VLOOKUP(B19,'Febrero Data'!A:D,4,FALSE)</f>
        <v>UESP1528</v>
      </c>
      <c r="I19" s="46" t="s">
        <v>7</v>
      </c>
      <c r="J19" s="87"/>
      <c r="K19" s="35"/>
      <c r="L19" s="36" t="b">
        <v>1</v>
      </c>
      <c r="M19" s="37" t="s">
        <v>22</v>
      </c>
      <c r="N19" s="38" t="s">
        <v>23</v>
      </c>
      <c r="O19" s="37"/>
    </row>
    <row r="20" ht="16.5" customHeight="1">
      <c r="A20" s="50" t="s">
        <v>6</v>
      </c>
      <c r="B20" s="40" t="s">
        <v>135</v>
      </c>
      <c r="C20" s="41" t="s">
        <v>72</v>
      </c>
      <c r="D20" s="50" t="s">
        <v>69</v>
      </c>
      <c r="E20" s="51" t="s">
        <v>82</v>
      </c>
      <c r="F20" s="50" t="s">
        <v>74</v>
      </c>
      <c r="G20" s="52">
        <f>G19+G18</f>
        <v>4888362.89</v>
      </c>
      <c r="H20" s="53" t="str">
        <f>VLOOKUP(B20,'Febrero Data'!A:D,4,FALSE)</f>
        <v>UESP1528</v>
      </c>
      <c r="I20" s="54"/>
      <c r="J20" s="78"/>
      <c r="K20" s="35"/>
      <c r="L20" s="36" t="b">
        <v>1</v>
      </c>
      <c r="M20" s="37" t="s">
        <v>24</v>
      </c>
      <c r="N20" s="38" t="s">
        <v>25</v>
      </c>
      <c r="O20" s="37"/>
    </row>
    <row r="21" ht="16.5" customHeight="1">
      <c r="A21" s="84" t="s">
        <v>6</v>
      </c>
      <c r="B21" s="27" t="s">
        <v>135</v>
      </c>
      <c r="C21" s="28" t="s">
        <v>59</v>
      </c>
      <c r="D21" s="56" t="s">
        <v>59</v>
      </c>
      <c r="E21" s="88"/>
      <c r="F21" s="41" t="s">
        <v>75</v>
      </c>
      <c r="G21" s="44">
        <f>G20*5%</f>
        <v>244418.1445</v>
      </c>
      <c r="H21" s="45" t="str">
        <f>VLOOKUP(B21,'Febrero Data'!A:D,4,FALSE)</f>
        <v>UESP1528</v>
      </c>
      <c r="I21" s="54"/>
      <c r="J21" s="85"/>
      <c r="K21" s="35"/>
      <c r="L21" s="36" t="b">
        <v>1</v>
      </c>
      <c r="M21" s="37" t="s">
        <v>26</v>
      </c>
      <c r="N21" s="38" t="s">
        <v>27</v>
      </c>
      <c r="O21" s="37"/>
    </row>
    <row r="22" ht="16.5" customHeight="1">
      <c r="A22" s="36" t="s">
        <v>6</v>
      </c>
      <c r="B22" s="40" t="s">
        <v>135</v>
      </c>
      <c r="C22" s="41" t="s">
        <v>59</v>
      </c>
      <c r="D22" s="56" t="s">
        <v>59</v>
      </c>
      <c r="E22" s="88"/>
      <c r="F22" s="41" t="s">
        <v>58</v>
      </c>
      <c r="G22" s="62">
        <f>G21</f>
        <v>244418.1445</v>
      </c>
      <c r="H22" s="45" t="str">
        <f>VLOOKUP(B22,'Febrero Data'!A:D,4,FALSE)</f>
        <v>UESP1528</v>
      </c>
      <c r="I22" s="54"/>
      <c r="J22" s="89"/>
      <c r="K22" s="35"/>
      <c r="L22" s="36" t="b">
        <v>1</v>
      </c>
      <c r="M22" s="37" t="s">
        <v>28</v>
      </c>
      <c r="N22" s="38" t="s">
        <v>29</v>
      </c>
      <c r="O22" s="37"/>
    </row>
    <row r="23">
      <c r="A23" s="28" t="s">
        <v>10</v>
      </c>
      <c r="B23" s="27" t="s">
        <v>83</v>
      </c>
      <c r="C23" s="28" t="s">
        <v>58</v>
      </c>
      <c r="D23" s="29" t="s">
        <v>69</v>
      </c>
      <c r="E23" s="30" t="s">
        <v>84</v>
      </c>
      <c r="F23" s="135" t="s">
        <v>71</v>
      </c>
      <c r="G23" s="146">
        <f>SUMIFS('Febrero Data'!C:C,'Febrero Data'!A:A,B23,'Febrero Data'!B:B,F23)</f>
        <v>4271092</v>
      </c>
      <c r="H23" s="32" t="str">
        <f>VLOOKUP(B23,'Febrero Data'!A:D,4,FALSE)</f>
        <v>UESP1524</v>
      </c>
      <c r="I23" s="33" t="s">
        <v>11</v>
      </c>
      <c r="J23" s="85">
        <f>J18+1</f>
        <v>525</v>
      </c>
      <c r="K23" s="35"/>
      <c r="L23" s="36" t="b">
        <v>1</v>
      </c>
      <c r="M23" s="37" t="s">
        <v>30</v>
      </c>
      <c r="N23" s="38" t="s">
        <v>31</v>
      </c>
      <c r="O23" s="37"/>
    </row>
    <row r="24">
      <c r="A24" s="71" t="s">
        <v>10</v>
      </c>
      <c r="B24" s="70" t="s">
        <v>83</v>
      </c>
      <c r="C24" s="71" t="s">
        <v>72</v>
      </c>
      <c r="D24" s="72" t="s">
        <v>69</v>
      </c>
      <c r="E24" s="73" t="s">
        <v>84</v>
      </c>
      <c r="F24" s="81" t="s">
        <v>73</v>
      </c>
      <c r="G24" s="148">
        <f>SUMIFS('Febrero Data'!C:C,'Febrero Data'!A:A,B24,'Febrero Data'!B:B,F24)</f>
        <v>0</v>
      </c>
      <c r="H24" s="82" t="str">
        <f>VLOOKUP(B24,'Febrero Data'!A:D,4,FALSE)</f>
        <v>UESP1524</v>
      </c>
      <c r="I24" s="46" t="s">
        <v>11</v>
      </c>
      <c r="J24" s="83"/>
      <c r="K24" s="35"/>
      <c r="L24" s="36" t="b">
        <v>1</v>
      </c>
      <c r="M24" s="37" t="s">
        <v>32</v>
      </c>
      <c r="N24" s="38" t="s">
        <v>33</v>
      </c>
      <c r="O24" s="37"/>
    </row>
    <row r="25">
      <c r="A25" s="50" t="s">
        <v>10</v>
      </c>
      <c r="B25" s="40" t="s">
        <v>83</v>
      </c>
      <c r="C25" s="41" t="s">
        <v>72</v>
      </c>
      <c r="D25" s="50" t="s">
        <v>69</v>
      </c>
      <c r="E25" s="51" t="s">
        <v>84</v>
      </c>
      <c r="F25" s="50" t="s">
        <v>74</v>
      </c>
      <c r="G25" s="52">
        <f>G24+G23</f>
        <v>4271092</v>
      </c>
      <c r="H25" s="53" t="str">
        <f>VLOOKUP(B25,'Febrero Data'!A:D,4,FALSE)</f>
        <v>UESP1524</v>
      </c>
      <c r="I25" s="54"/>
      <c r="J25" s="78"/>
      <c r="K25" s="35"/>
      <c r="L25" s="36" t="b">
        <v>1</v>
      </c>
      <c r="M25" s="37" t="s">
        <v>34</v>
      </c>
      <c r="N25" s="38" t="s">
        <v>35</v>
      </c>
      <c r="O25" s="37"/>
    </row>
    <row r="26">
      <c r="A26" s="91" t="s">
        <v>10</v>
      </c>
      <c r="B26" s="27" t="s">
        <v>83</v>
      </c>
      <c r="C26" s="28" t="s">
        <v>59</v>
      </c>
      <c r="D26" s="56" t="s">
        <v>59</v>
      </c>
      <c r="E26" s="88"/>
      <c r="F26" s="41" t="s">
        <v>75</v>
      </c>
      <c r="G26" s="44">
        <f>G25*5%</f>
        <v>213554.6</v>
      </c>
      <c r="H26" s="45" t="str">
        <f>VLOOKUP(B26,'Febrero Data'!A:D,4,FALSE)</f>
        <v>UESP1524</v>
      </c>
      <c r="I26" s="54"/>
      <c r="J26" s="92"/>
      <c r="K26" s="35"/>
      <c r="L26" s="36" t="b">
        <v>1</v>
      </c>
      <c r="M26" s="37" t="s">
        <v>44</v>
      </c>
      <c r="N26" s="38" t="s">
        <v>45</v>
      </c>
      <c r="O26" s="37"/>
    </row>
    <row r="27">
      <c r="A27" s="80" t="s">
        <v>10</v>
      </c>
      <c r="B27" s="70" t="s">
        <v>83</v>
      </c>
      <c r="C27" s="71" t="s">
        <v>59</v>
      </c>
      <c r="D27" s="81" t="s">
        <v>59</v>
      </c>
      <c r="E27" s="88"/>
      <c r="F27" s="71" t="s">
        <v>58</v>
      </c>
      <c r="G27" s="62">
        <f>G26</f>
        <v>213554.6</v>
      </c>
      <c r="H27" s="82" t="str">
        <f>VLOOKUP(B27,'Febrero Data'!A:D,4,FALSE)</f>
        <v>UESP1524</v>
      </c>
      <c r="I27" s="54"/>
      <c r="J27" s="83"/>
      <c r="K27" s="35"/>
      <c r="L27" s="36" t="b">
        <v>1</v>
      </c>
      <c r="M27" s="80" t="s">
        <v>36</v>
      </c>
      <c r="N27" s="90" t="s">
        <v>37</v>
      </c>
      <c r="O27" s="37"/>
    </row>
    <row r="28">
      <c r="A28" s="28" t="s">
        <v>12</v>
      </c>
      <c r="B28" s="27" t="s">
        <v>85</v>
      </c>
      <c r="C28" s="28" t="s">
        <v>58</v>
      </c>
      <c r="D28" s="29" t="s">
        <v>69</v>
      </c>
      <c r="E28" s="30" t="s">
        <v>86</v>
      </c>
      <c r="F28" s="135" t="s">
        <v>71</v>
      </c>
      <c r="G28" s="146">
        <f>SUMIFS('Febrero Data'!C:C,'Febrero Data'!A:A,B28,'Febrero Data'!B:B,F28)</f>
        <v>2244451</v>
      </c>
      <c r="H28" s="32" t="str">
        <f>VLOOKUP(B28,'Febrero Data'!A:D,4,FALSE)</f>
        <v>UESP1519</v>
      </c>
      <c r="I28" s="33" t="s">
        <v>13</v>
      </c>
      <c r="J28" s="85">
        <f>J23+1</f>
        <v>526</v>
      </c>
      <c r="K28" s="93"/>
      <c r="O28" s="37"/>
    </row>
    <row r="29">
      <c r="A29" s="71" t="s">
        <v>12</v>
      </c>
      <c r="B29" s="70" t="s">
        <v>85</v>
      </c>
      <c r="C29" s="71" t="s">
        <v>72</v>
      </c>
      <c r="D29" s="72" t="s">
        <v>69</v>
      </c>
      <c r="E29" s="73" t="s">
        <v>86</v>
      </c>
      <c r="F29" s="81" t="s">
        <v>73</v>
      </c>
      <c r="G29" s="148">
        <f>SUMIFS('Febrero Data'!C:C,'Febrero Data'!A:A,B29,'Febrero Data'!B:B,F29)</f>
        <v>53672.5</v>
      </c>
      <c r="H29" s="82" t="str">
        <f>VLOOKUP(B29,'Febrero Data'!A:D,4,FALSE)</f>
        <v>UESP1519</v>
      </c>
      <c r="I29" s="46" t="s">
        <v>13</v>
      </c>
      <c r="J29" s="83"/>
      <c r="K29" s="35"/>
      <c r="O29" s="37"/>
    </row>
    <row r="30">
      <c r="A30" s="50" t="s">
        <v>12</v>
      </c>
      <c r="B30" s="40" t="s">
        <v>85</v>
      </c>
      <c r="C30" s="41" t="s">
        <v>72</v>
      </c>
      <c r="D30" s="50" t="s">
        <v>69</v>
      </c>
      <c r="E30" s="51" t="s">
        <v>86</v>
      </c>
      <c r="F30" s="50" t="s">
        <v>74</v>
      </c>
      <c r="G30" s="52">
        <f>G29+G28</f>
        <v>2298123.5</v>
      </c>
      <c r="H30" s="53" t="str">
        <f>VLOOKUP(B30,'Febrero Data'!A:D,4,FALSE)</f>
        <v>UESP1519</v>
      </c>
      <c r="I30" s="54"/>
      <c r="J30" s="78"/>
      <c r="K30" s="35"/>
      <c r="O30" s="37"/>
    </row>
    <row r="31">
      <c r="A31" s="91" t="s">
        <v>12</v>
      </c>
      <c r="B31" s="27" t="s">
        <v>85</v>
      </c>
      <c r="C31" s="28" t="s">
        <v>59</v>
      </c>
      <c r="D31" s="56" t="s">
        <v>59</v>
      </c>
      <c r="E31" s="88"/>
      <c r="F31" s="41" t="s">
        <v>75</v>
      </c>
      <c r="G31" s="44">
        <f>G30*5%</f>
        <v>114906.175</v>
      </c>
      <c r="H31" s="45" t="str">
        <f>VLOOKUP(B31,'Febrero Data'!A:D,4,FALSE)</f>
        <v>UESP1519</v>
      </c>
      <c r="I31" s="54"/>
      <c r="J31" s="92"/>
      <c r="K31" s="35"/>
      <c r="O31" s="37"/>
    </row>
    <row r="32">
      <c r="A32" s="80" t="s">
        <v>12</v>
      </c>
      <c r="B32" s="70" t="s">
        <v>85</v>
      </c>
      <c r="C32" s="71" t="s">
        <v>59</v>
      </c>
      <c r="D32" s="81" t="s">
        <v>59</v>
      </c>
      <c r="E32" s="88"/>
      <c r="F32" s="71" t="s">
        <v>58</v>
      </c>
      <c r="G32" s="62">
        <f>G31</f>
        <v>114906.175</v>
      </c>
      <c r="H32" s="82" t="str">
        <f>VLOOKUP(B32,'Febrero Data'!A:D,4,FALSE)</f>
        <v>UESP1519</v>
      </c>
      <c r="I32" s="54"/>
      <c r="J32" s="83"/>
      <c r="K32" s="35"/>
      <c r="O32" s="37"/>
    </row>
    <row r="33">
      <c r="A33" s="28" t="s">
        <v>40</v>
      </c>
      <c r="B33" s="27" t="s">
        <v>87</v>
      </c>
      <c r="C33" s="28" t="s">
        <v>58</v>
      </c>
      <c r="D33" s="28" t="s">
        <v>69</v>
      </c>
      <c r="E33" s="30" t="s">
        <v>82</v>
      </c>
      <c r="F33" s="28" t="s">
        <v>71</v>
      </c>
      <c r="G33" s="31">
        <f>SUMIFS('Febrero Data'!C:C,'Febrero Data'!A:A,B33,'Febrero Data'!B:B,F33)</f>
        <v>11561704.47</v>
      </c>
      <c r="H33" s="32" t="str">
        <f>VLOOKUP(B33,'Febrero Data'!A:D,4,FALSE)</f>
        <v>UESP1539</v>
      </c>
      <c r="I33" s="33" t="s">
        <v>41</v>
      </c>
      <c r="J33" s="85">
        <f>J28+1</f>
        <v>527</v>
      </c>
      <c r="K33" s="35"/>
      <c r="O33" s="80"/>
    </row>
    <row r="34">
      <c r="A34" s="71" t="s">
        <v>40</v>
      </c>
      <c r="B34" s="70" t="s">
        <v>87</v>
      </c>
      <c r="C34" s="71" t="s">
        <v>72</v>
      </c>
      <c r="D34" s="72" t="s">
        <v>69</v>
      </c>
      <c r="E34" s="73" t="s">
        <v>82</v>
      </c>
      <c r="F34" s="71" t="s">
        <v>73</v>
      </c>
      <c r="G34" s="62">
        <f>SUMIFS('Febrero Data'!C:C,'Febrero Data'!A:A,B34,'Febrero Data'!B:B,F34)</f>
        <v>171219.46</v>
      </c>
      <c r="H34" s="82" t="str">
        <f>VLOOKUP(B34,'Febrero Data'!A:D,4,FALSE)</f>
        <v>UESP1539</v>
      </c>
      <c r="I34" s="46" t="s">
        <v>41</v>
      </c>
      <c r="J34" s="83"/>
      <c r="K34" s="35"/>
    </row>
    <row r="35">
      <c r="A35" s="50" t="s">
        <v>40</v>
      </c>
      <c r="B35" s="40" t="s">
        <v>87</v>
      </c>
      <c r="C35" s="41" t="s">
        <v>72</v>
      </c>
      <c r="D35" s="50" t="s">
        <v>69</v>
      </c>
      <c r="E35" s="51" t="s">
        <v>82</v>
      </c>
      <c r="F35" s="50" t="s">
        <v>74</v>
      </c>
      <c r="G35" s="52">
        <f>G34+G33</f>
        <v>11732923.93</v>
      </c>
      <c r="H35" s="53" t="str">
        <f>VLOOKUP(B35,'Febrero Data'!A:D,4,FALSE)</f>
        <v>UESP1539</v>
      </c>
      <c r="I35" s="54"/>
      <c r="J35" s="78"/>
      <c r="K35" s="35"/>
    </row>
    <row r="36">
      <c r="A36" s="94" t="s">
        <v>40</v>
      </c>
      <c r="B36" s="27" t="s">
        <v>87</v>
      </c>
      <c r="C36" s="28" t="s">
        <v>59</v>
      </c>
      <c r="D36" s="56" t="s">
        <v>59</v>
      </c>
      <c r="E36" s="88"/>
      <c r="F36" s="41" t="s">
        <v>75</v>
      </c>
      <c r="G36" s="44">
        <f>G35*5%</f>
        <v>586646.1965</v>
      </c>
      <c r="H36" s="45" t="str">
        <f>VLOOKUP(B36,'Febrero Data'!A:D,4,FALSE)</f>
        <v>UESP1539</v>
      </c>
      <c r="I36" s="54"/>
      <c r="J36" s="92"/>
      <c r="K36" s="35"/>
    </row>
    <row r="37">
      <c r="A37" s="96" t="s">
        <v>40</v>
      </c>
      <c r="B37" s="70" t="s">
        <v>87</v>
      </c>
      <c r="C37" s="71" t="s">
        <v>59</v>
      </c>
      <c r="D37" s="81" t="s">
        <v>59</v>
      </c>
      <c r="E37" s="88"/>
      <c r="F37" s="71" t="s">
        <v>58</v>
      </c>
      <c r="G37" s="62">
        <f>G36</f>
        <v>586646.1965</v>
      </c>
      <c r="H37" s="82" t="str">
        <f>VLOOKUP(B37,'Febrero Data'!A:D,4,FALSE)</f>
        <v>UESP1539</v>
      </c>
      <c r="I37" s="54"/>
      <c r="J37" s="83"/>
      <c r="K37" s="35"/>
    </row>
    <row r="38">
      <c r="A38" s="28" t="s">
        <v>14</v>
      </c>
      <c r="B38" s="27" t="s">
        <v>88</v>
      </c>
      <c r="C38" s="28" t="s">
        <v>58</v>
      </c>
      <c r="D38" s="29" t="s">
        <v>69</v>
      </c>
      <c r="E38" s="30" t="s">
        <v>82</v>
      </c>
      <c r="F38" s="135" t="s">
        <v>71</v>
      </c>
      <c r="G38" s="146">
        <f>SUMIFS('Febrero Data'!C:C,'Febrero Data'!A:A,B38,'Febrero Data'!B:B,F38)</f>
        <v>1609725</v>
      </c>
      <c r="H38" s="137" t="str">
        <f>VLOOKUP(B38,'Febrero Data'!A:D,4,FALSE)</f>
        <v>UESP1529</v>
      </c>
      <c r="I38" s="33" t="s">
        <v>15</v>
      </c>
      <c r="J38" s="85">
        <f>J33+1</f>
        <v>528</v>
      </c>
      <c r="K38" s="35"/>
    </row>
    <row r="39">
      <c r="A39" s="71" t="s">
        <v>14</v>
      </c>
      <c r="B39" s="70" t="s">
        <v>88</v>
      </c>
      <c r="C39" s="71" t="s">
        <v>72</v>
      </c>
      <c r="D39" s="72" t="s">
        <v>69</v>
      </c>
      <c r="E39" s="73" t="s">
        <v>82</v>
      </c>
      <c r="F39" s="81" t="s">
        <v>73</v>
      </c>
      <c r="G39" s="148">
        <f>SUMIFS('Febrero Data'!C:C,'Febrero Data'!A:A,B39,'Febrero Data'!B:B,F39)</f>
        <v>20928.27</v>
      </c>
      <c r="H39" s="143" t="str">
        <f>VLOOKUP(B39,'Febrero Data'!A:D,4,FALSE)</f>
        <v>UESP1529</v>
      </c>
      <c r="I39" s="46" t="s">
        <v>15</v>
      </c>
      <c r="J39" s="83"/>
      <c r="K39" s="35"/>
    </row>
    <row r="40">
      <c r="A40" s="50" t="s">
        <v>14</v>
      </c>
      <c r="B40" s="40" t="s">
        <v>88</v>
      </c>
      <c r="C40" s="41" t="s">
        <v>72</v>
      </c>
      <c r="D40" s="50" t="s">
        <v>69</v>
      </c>
      <c r="E40" s="51" t="s">
        <v>82</v>
      </c>
      <c r="F40" s="50" t="s">
        <v>74</v>
      </c>
      <c r="G40" s="52">
        <f>G39+G38</f>
        <v>1630653.27</v>
      </c>
      <c r="H40" s="53" t="str">
        <f>VLOOKUP(B40,'Febrero Data'!A:D,4,FALSE)</f>
        <v>UESP1529</v>
      </c>
      <c r="I40" s="54"/>
      <c r="J40" s="78"/>
      <c r="K40" s="35"/>
    </row>
    <row r="41">
      <c r="A41" s="91" t="s">
        <v>14</v>
      </c>
      <c r="B41" s="27" t="s">
        <v>88</v>
      </c>
      <c r="C41" s="28" t="s">
        <v>59</v>
      </c>
      <c r="D41" s="56" t="s">
        <v>59</v>
      </c>
      <c r="E41" s="88"/>
      <c r="F41" s="41" t="s">
        <v>75</v>
      </c>
      <c r="G41" s="44">
        <f>G40*5%</f>
        <v>81532.6635</v>
      </c>
      <c r="H41" s="45" t="str">
        <f>VLOOKUP(B41,'Febrero Data'!A:D,4,FALSE)</f>
        <v>UESP1529</v>
      </c>
      <c r="I41" s="54"/>
      <c r="J41" s="92"/>
      <c r="K41" s="35"/>
    </row>
    <row r="42">
      <c r="A42" s="80" t="s">
        <v>14</v>
      </c>
      <c r="B42" s="70" t="s">
        <v>88</v>
      </c>
      <c r="C42" s="71" t="s">
        <v>59</v>
      </c>
      <c r="D42" s="81" t="s">
        <v>59</v>
      </c>
      <c r="E42" s="88"/>
      <c r="F42" s="71" t="s">
        <v>58</v>
      </c>
      <c r="G42" s="62">
        <f>G41</f>
        <v>81532.6635</v>
      </c>
      <c r="H42" s="82" t="str">
        <f>VLOOKUP(B42,'Febrero Data'!A:D,4,FALSE)</f>
        <v>UESP1529</v>
      </c>
      <c r="I42" s="54"/>
      <c r="J42" s="83"/>
      <c r="K42" s="35"/>
    </row>
    <row r="43">
      <c r="A43" s="28" t="s">
        <v>16</v>
      </c>
      <c r="B43" s="27" t="s">
        <v>89</v>
      </c>
      <c r="C43" s="28" t="s">
        <v>58</v>
      </c>
      <c r="D43" s="29" t="s">
        <v>69</v>
      </c>
      <c r="E43" s="30" t="s">
        <v>82</v>
      </c>
      <c r="F43" s="135" t="s">
        <v>71</v>
      </c>
      <c r="G43" s="146">
        <f>SUMIFS('Febrero Data'!C:C,'Febrero Data'!A:A,B43,'Febrero Data'!B:B,F43)</f>
        <v>1992216</v>
      </c>
      <c r="H43" s="32" t="str">
        <f>VLOOKUP(B43,'Febrero Data'!A:D,4,FALSE)</f>
        <v>UESP1518</v>
      </c>
      <c r="I43" s="33" t="s">
        <v>17</v>
      </c>
      <c r="J43" s="85">
        <f>J38+1</f>
        <v>529</v>
      </c>
      <c r="K43" s="35"/>
    </row>
    <row r="44">
      <c r="A44" s="71" t="s">
        <v>16</v>
      </c>
      <c r="B44" s="70" t="s">
        <v>89</v>
      </c>
      <c r="C44" s="71" t="s">
        <v>58</v>
      </c>
      <c r="D44" s="72" t="s">
        <v>69</v>
      </c>
      <c r="E44" s="73" t="s">
        <v>82</v>
      </c>
      <c r="F44" s="81" t="s">
        <v>73</v>
      </c>
      <c r="G44" s="148">
        <f>SUMIFS('Febrero Data'!C:C,'Febrero Data'!A:A,B44,'Febrero Data'!B:B,F44)</f>
        <v>367512.7</v>
      </c>
      <c r="H44" s="82" t="str">
        <f>VLOOKUP(B44,'Febrero Data'!A:D,4,FALSE)</f>
        <v>UESP1518</v>
      </c>
      <c r="I44" s="46" t="s">
        <v>17</v>
      </c>
      <c r="J44" s="83"/>
      <c r="K44" s="35"/>
    </row>
    <row r="45">
      <c r="A45" s="50" t="s">
        <v>16</v>
      </c>
      <c r="B45" s="40" t="s">
        <v>89</v>
      </c>
      <c r="C45" s="41" t="s">
        <v>58</v>
      </c>
      <c r="D45" s="50" t="s">
        <v>69</v>
      </c>
      <c r="E45" s="51" t="s">
        <v>82</v>
      </c>
      <c r="F45" s="50" t="s">
        <v>74</v>
      </c>
      <c r="G45" s="52">
        <f>G44+G43</f>
        <v>2359728.7</v>
      </c>
      <c r="H45" s="53" t="str">
        <f>VLOOKUP(B45,'Febrero Data'!A:D,4,FALSE)</f>
        <v>UESP1518</v>
      </c>
      <c r="I45" s="54"/>
      <c r="J45" s="78"/>
      <c r="K45" s="35"/>
    </row>
    <row r="46">
      <c r="A46" s="91" t="s">
        <v>16</v>
      </c>
      <c r="B46" s="27" t="s">
        <v>89</v>
      </c>
      <c r="C46" s="28" t="s">
        <v>59</v>
      </c>
      <c r="D46" s="56" t="s">
        <v>59</v>
      </c>
      <c r="E46" s="88"/>
      <c r="F46" s="41" t="s">
        <v>75</v>
      </c>
      <c r="G46" s="44">
        <f>G45*5%</f>
        <v>117986.435</v>
      </c>
      <c r="H46" s="45" t="str">
        <f>VLOOKUP(B46,'Febrero Data'!A:D,4,FALSE)</f>
        <v>UESP1518</v>
      </c>
      <c r="I46" s="54"/>
      <c r="J46" s="92"/>
      <c r="K46" s="35"/>
    </row>
    <row r="47">
      <c r="A47" s="37" t="s">
        <v>16</v>
      </c>
      <c r="B47" s="40" t="s">
        <v>89</v>
      </c>
      <c r="C47" s="41" t="s">
        <v>59</v>
      </c>
      <c r="D47" s="56" t="s">
        <v>59</v>
      </c>
      <c r="E47" s="88"/>
      <c r="F47" s="41" t="s">
        <v>58</v>
      </c>
      <c r="G47" s="62">
        <f>G46</f>
        <v>117986.435</v>
      </c>
      <c r="H47" s="45" t="str">
        <f>VLOOKUP(B47,'Febrero Data'!A:D,4,FALSE)</f>
        <v>UESP1518</v>
      </c>
      <c r="I47" s="54"/>
      <c r="J47" s="79"/>
      <c r="K47" s="35"/>
    </row>
    <row r="48">
      <c r="A48" s="28" t="s">
        <v>42</v>
      </c>
      <c r="B48" s="27" t="s">
        <v>90</v>
      </c>
      <c r="C48" s="28" t="s">
        <v>58</v>
      </c>
      <c r="D48" s="29" t="s">
        <v>69</v>
      </c>
      <c r="E48" s="30" t="s">
        <v>82</v>
      </c>
      <c r="F48" s="135" t="s">
        <v>71</v>
      </c>
      <c r="G48" s="146">
        <f>SUMIFS('Febrero Data'!C:C,'Febrero Data'!A:A,B48,'Febrero Data'!B:B,F48)</f>
        <v>2485290</v>
      </c>
      <c r="H48" s="63" t="str">
        <f>VLOOKUP(B48,'Febrero Data'!A:D,4,FALSE)</f>
        <v>UESP1533</v>
      </c>
      <c r="I48" s="64" t="s">
        <v>43</v>
      </c>
      <c r="J48" s="85">
        <f>J43+1</f>
        <v>530</v>
      </c>
      <c r="K48" s="35"/>
    </row>
    <row r="49">
      <c r="A49" s="41" t="s">
        <v>42</v>
      </c>
      <c r="B49" s="40" t="s">
        <v>90</v>
      </c>
      <c r="C49" s="41" t="s">
        <v>72</v>
      </c>
      <c r="D49" s="42" t="s">
        <v>69</v>
      </c>
      <c r="E49" s="43" t="s">
        <v>82</v>
      </c>
      <c r="F49" s="56" t="s">
        <v>73</v>
      </c>
      <c r="G49" s="147">
        <f>SUMIFS('Febrero Data'!C:C,'Febrero Data'!A:A,B49,'Febrero Data'!B:B,F49)</f>
        <v>3261.19</v>
      </c>
      <c r="H49" s="66" t="str">
        <f>VLOOKUP(B49,'Febrero Data'!A:D,4,FALSE)</f>
        <v>UESP1533</v>
      </c>
      <c r="I49" s="67" t="s">
        <v>43</v>
      </c>
      <c r="J49" s="79"/>
      <c r="K49" s="35"/>
    </row>
    <row r="50">
      <c r="A50" s="71" t="s">
        <v>42</v>
      </c>
      <c r="B50" s="70" t="s">
        <v>90</v>
      </c>
      <c r="C50" s="71" t="s">
        <v>72</v>
      </c>
      <c r="D50" s="72" t="s">
        <v>69</v>
      </c>
      <c r="E50" s="73"/>
      <c r="F50" s="81" t="s">
        <v>80</v>
      </c>
      <c r="G50" s="148">
        <f>(G48+G49)*4%</f>
        <v>99542.0476</v>
      </c>
      <c r="H50" s="66" t="str">
        <f>VLOOKUP(B50,'Febrero Data'!A:D,4,FALSE)</f>
        <v>UESP1533</v>
      </c>
      <c r="I50" s="71"/>
      <c r="J50" s="83"/>
      <c r="K50" s="35"/>
    </row>
    <row r="51">
      <c r="A51" s="50" t="s">
        <v>42</v>
      </c>
      <c r="B51" s="40" t="s">
        <v>90</v>
      </c>
      <c r="C51" s="41" t="s">
        <v>72</v>
      </c>
      <c r="D51" s="50" t="s">
        <v>69</v>
      </c>
      <c r="E51" s="51" t="s">
        <v>82</v>
      </c>
      <c r="F51" s="50" t="s">
        <v>74</v>
      </c>
      <c r="G51" s="52">
        <f>G48+G49-G50</f>
        <v>2389009.142</v>
      </c>
      <c r="H51" s="53" t="str">
        <f>VLOOKUP(B51,'Febrero Data'!A:D,4,FALSE)</f>
        <v>UESP1533</v>
      </c>
      <c r="I51" s="54"/>
      <c r="J51" s="78"/>
      <c r="K51" s="35"/>
    </row>
    <row r="52">
      <c r="A52" s="91" t="s">
        <v>42</v>
      </c>
      <c r="B52" s="27" t="s">
        <v>90</v>
      </c>
      <c r="C52" s="28" t="s">
        <v>59</v>
      </c>
      <c r="D52" s="56" t="s">
        <v>59</v>
      </c>
      <c r="E52" s="88"/>
      <c r="F52" s="41" t="s">
        <v>75</v>
      </c>
      <c r="G52" s="44">
        <f>G51*5%</f>
        <v>119450.4571</v>
      </c>
      <c r="H52" s="45" t="str">
        <f>VLOOKUP(B52,'Febrero Data'!A:D,4,FALSE)</f>
        <v>UESP1533</v>
      </c>
      <c r="I52" s="54"/>
      <c r="J52" s="92"/>
      <c r="K52" s="35"/>
    </row>
    <row r="53">
      <c r="A53" s="37" t="s">
        <v>42</v>
      </c>
      <c r="B53" s="40" t="s">
        <v>90</v>
      </c>
      <c r="C53" s="41" t="s">
        <v>59</v>
      </c>
      <c r="D53" s="56" t="s">
        <v>59</v>
      </c>
      <c r="E53" s="88"/>
      <c r="F53" s="41" t="s">
        <v>58</v>
      </c>
      <c r="G53" s="62">
        <f>G52</f>
        <v>119450.4571</v>
      </c>
      <c r="H53" s="45" t="str">
        <f>VLOOKUP(B53,'Febrero Data'!A:D,4,FALSE)</f>
        <v>UESP1533</v>
      </c>
      <c r="I53" s="54"/>
      <c r="J53" s="79"/>
      <c r="K53" s="35"/>
    </row>
    <row r="54">
      <c r="A54" s="28" t="s">
        <v>18</v>
      </c>
      <c r="B54" s="27" t="s">
        <v>91</v>
      </c>
      <c r="C54" s="28" t="s">
        <v>58</v>
      </c>
      <c r="D54" s="29" t="s">
        <v>69</v>
      </c>
      <c r="E54" s="30" t="s">
        <v>92</v>
      </c>
      <c r="F54" s="135" t="s">
        <v>71</v>
      </c>
      <c r="G54" s="146">
        <f>SUMIFS('Febrero Data'!C:C,'Febrero Data'!A:A,B54,'Febrero Data'!B:B,F54)</f>
        <v>1464854</v>
      </c>
      <c r="H54" s="63" t="str">
        <f>VLOOKUP(B54,'Febrero Data'!A:D,4,FALSE)</f>
        <v>UESP1523</v>
      </c>
      <c r="I54" s="64" t="s">
        <v>19</v>
      </c>
      <c r="J54" s="85">
        <f>J48+1</f>
        <v>531</v>
      </c>
      <c r="K54" s="35"/>
    </row>
    <row r="55">
      <c r="A55" s="41" t="s">
        <v>18</v>
      </c>
      <c r="B55" s="40" t="s">
        <v>91</v>
      </c>
      <c r="C55" s="41" t="s">
        <v>72</v>
      </c>
      <c r="D55" s="42" t="s">
        <v>69</v>
      </c>
      <c r="E55" s="43" t="s">
        <v>92</v>
      </c>
      <c r="F55" s="56" t="s">
        <v>73</v>
      </c>
      <c r="G55" s="147">
        <f>SUMIFS('Febrero Data'!C:C,'Febrero Data'!A:A,B55,'Febrero Data'!B:B,F55)</f>
        <v>35938.05</v>
      </c>
      <c r="H55" s="66" t="str">
        <f>VLOOKUP(B55,'Febrero Data'!A:D,4,FALSE)</f>
        <v>UESP1523</v>
      </c>
      <c r="I55" s="67" t="s">
        <v>19</v>
      </c>
      <c r="J55" s="79"/>
      <c r="K55" s="35"/>
    </row>
    <row r="56">
      <c r="A56" s="71" t="s">
        <v>18</v>
      </c>
      <c r="B56" s="70" t="s">
        <v>91</v>
      </c>
      <c r="C56" s="71" t="s">
        <v>72</v>
      </c>
      <c r="D56" s="72" t="s">
        <v>69</v>
      </c>
      <c r="E56" s="73" t="s">
        <v>92</v>
      </c>
      <c r="F56" s="81" t="s">
        <v>80</v>
      </c>
      <c r="G56" s="148">
        <f>(G54+G55)*2.5%</f>
        <v>37519.80125</v>
      </c>
      <c r="H56" s="66" t="str">
        <f>VLOOKUP(B56,'Febrero Data'!A:D,4,FALSE)</f>
        <v>UESP1523</v>
      </c>
      <c r="I56" s="71"/>
      <c r="J56" s="83"/>
      <c r="K56" s="35"/>
    </row>
    <row r="57">
      <c r="A57" s="50" t="s">
        <v>18</v>
      </c>
      <c r="B57" s="40" t="s">
        <v>91</v>
      </c>
      <c r="C57" s="41" t="s">
        <v>72</v>
      </c>
      <c r="D57" s="50" t="s">
        <v>69</v>
      </c>
      <c r="E57" s="51" t="s">
        <v>92</v>
      </c>
      <c r="F57" s="50" t="s">
        <v>74</v>
      </c>
      <c r="G57" s="52">
        <f>G54+G55-G56</f>
        <v>1463272.249</v>
      </c>
      <c r="H57" s="53"/>
      <c r="I57" s="54"/>
      <c r="J57" s="78"/>
      <c r="K57" s="35"/>
    </row>
    <row r="58">
      <c r="A58" s="91" t="s">
        <v>18</v>
      </c>
      <c r="B58" s="27" t="s">
        <v>91</v>
      </c>
      <c r="C58" s="28" t="s">
        <v>59</v>
      </c>
      <c r="D58" s="56" t="s">
        <v>59</v>
      </c>
      <c r="E58" s="88"/>
      <c r="F58" s="41" t="s">
        <v>75</v>
      </c>
      <c r="G58" s="44">
        <f>G57*5%</f>
        <v>73163.61244</v>
      </c>
      <c r="H58" s="45" t="str">
        <f>VLOOKUP(B58,'Febrero Data'!A:D,4,FALSE)</f>
        <v>UESP1523</v>
      </c>
      <c r="I58" s="54"/>
      <c r="J58" s="92"/>
      <c r="K58" s="35"/>
    </row>
    <row r="59">
      <c r="A59" s="37" t="s">
        <v>18</v>
      </c>
      <c r="B59" s="40" t="s">
        <v>91</v>
      </c>
      <c r="C59" s="41" t="s">
        <v>59</v>
      </c>
      <c r="D59" s="56" t="s">
        <v>59</v>
      </c>
      <c r="E59" s="88"/>
      <c r="F59" s="41" t="s">
        <v>58</v>
      </c>
      <c r="G59" s="62">
        <f>G58</f>
        <v>73163.61244</v>
      </c>
      <c r="H59" s="45" t="str">
        <f>VLOOKUP(B59,'Febrero Data'!A:D,4,FALSE)</f>
        <v>UESP1523</v>
      </c>
      <c r="I59" s="54"/>
      <c r="J59" s="79"/>
      <c r="K59" s="35"/>
    </row>
    <row r="60" ht="15.0" customHeight="1">
      <c r="A60" s="28" t="s">
        <v>20</v>
      </c>
      <c r="B60" s="27" t="s">
        <v>138</v>
      </c>
      <c r="C60" s="28" t="s">
        <v>58</v>
      </c>
      <c r="D60" s="29" t="s">
        <v>69</v>
      </c>
      <c r="E60" s="30" t="s">
        <v>82</v>
      </c>
      <c r="F60" s="135" t="s">
        <v>71</v>
      </c>
      <c r="G60" s="146">
        <f>SUMIFS('Febrero Data'!C:C,'Febrero Data'!A:A,B60,'Febrero Data'!B:B,F60)</f>
        <v>1493894</v>
      </c>
      <c r="H60" s="63" t="str">
        <f>VLOOKUP(B60,'Febrero Data'!A:D,4,FALSE)</f>
        <v>UESP1525</v>
      </c>
      <c r="I60" s="64" t="s">
        <v>21</v>
      </c>
      <c r="J60" s="85">
        <f>J54+1</f>
        <v>532</v>
      </c>
      <c r="K60" s="35"/>
    </row>
    <row r="61" ht="14.25" customHeight="1">
      <c r="A61" s="41" t="s">
        <v>20</v>
      </c>
      <c r="B61" s="40" t="s">
        <v>138</v>
      </c>
      <c r="C61" s="41" t="s">
        <v>72</v>
      </c>
      <c r="D61" s="42" t="s">
        <v>69</v>
      </c>
      <c r="E61" s="43" t="s">
        <v>82</v>
      </c>
      <c r="F61" s="56" t="s">
        <v>73</v>
      </c>
      <c r="G61" s="147">
        <f>SUMIFS('Febrero Data'!C:C,'Febrero Data'!A:A,B61,'Febrero Data'!B:B,F61)</f>
        <v>0</v>
      </c>
      <c r="H61" s="66" t="str">
        <f>VLOOKUP(B61,'Febrero Data'!A:D,4,FALSE)</f>
        <v>UESP1525</v>
      </c>
      <c r="I61" s="67" t="s">
        <v>21</v>
      </c>
      <c r="J61" s="79"/>
      <c r="K61" s="35"/>
    </row>
    <row r="62" ht="14.25" customHeight="1">
      <c r="A62" s="71" t="s">
        <v>20</v>
      </c>
      <c r="B62" s="70" t="s">
        <v>138</v>
      </c>
      <c r="C62" s="71" t="s">
        <v>72</v>
      </c>
      <c r="D62" s="72" t="s">
        <v>69</v>
      </c>
      <c r="E62" s="73"/>
      <c r="F62" s="81" t="s">
        <v>80</v>
      </c>
      <c r="G62" s="148">
        <f>(G60+G61)*2.5%</f>
        <v>37347.35</v>
      </c>
      <c r="H62" s="66" t="str">
        <f>VLOOKUP(B62,'Febrero Data'!A:D,4,FALSE)</f>
        <v>UESP1525</v>
      </c>
      <c r="I62" s="71"/>
      <c r="J62" s="83"/>
      <c r="K62" s="35"/>
    </row>
    <row r="63" ht="13.5" customHeight="1">
      <c r="A63" s="50" t="s">
        <v>20</v>
      </c>
      <c r="B63" s="40" t="s">
        <v>138</v>
      </c>
      <c r="C63" s="41" t="s">
        <v>72</v>
      </c>
      <c r="D63" s="50" t="s">
        <v>69</v>
      </c>
      <c r="E63" s="51" t="s">
        <v>82</v>
      </c>
      <c r="F63" s="50" t="s">
        <v>74</v>
      </c>
      <c r="G63" s="52">
        <f>G60+G61-G62</f>
        <v>1456546.65</v>
      </c>
      <c r="H63" s="97" t="str">
        <f>VLOOKUP(B63,'Febrero Data'!A:D,4,FALSE)</f>
        <v>UESP1525</v>
      </c>
      <c r="I63" s="98"/>
      <c r="J63" s="78"/>
      <c r="K63" s="35"/>
    </row>
    <row r="64" ht="15.0" customHeight="1">
      <c r="A64" s="91" t="s">
        <v>20</v>
      </c>
      <c r="B64" s="27" t="s">
        <v>138</v>
      </c>
      <c r="C64" s="28" t="s">
        <v>59</v>
      </c>
      <c r="D64" s="56" t="s">
        <v>59</v>
      </c>
      <c r="E64" s="88"/>
      <c r="F64" s="41" t="s">
        <v>75</v>
      </c>
      <c r="G64" s="44">
        <f>G63*5%</f>
        <v>72827.3325</v>
      </c>
      <c r="H64" s="45" t="str">
        <f>VLOOKUP(B64,'Febrero Data'!A:D,4,FALSE)</f>
        <v>UESP1525</v>
      </c>
      <c r="I64" s="98"/>
      <c r="J64" s="92"/>
      <c r="K64" s="35"/>
    </row>
    <row r="65" ht="18.0" customHeight="1">
      <c r="A65" s="80" t="s">
        <v>20</v>
      </c>
      <c r="B65" s="70" t="s">
        <v>138</v>
      </c>
      <c r="C65" s="71" t="s">
        <v>59</v>
      </c>
      <c r="D65" s="81" t="s">
        <v>59</v>
      </c>
      <c r="E65" s="88"/>
      <c r="F65" s="71" t="s">
        <v>58</v>
      </c>
      <c r="G65" s="62">
        <f>G64</f>
        <v>72827.3325</v>
      </c>
      <c r="H65" s="82" t="str">
        <f>VLOOKUP(B65,'Febrero Data'!A:D,4,FALSE)</f>
        <v>UESP1525</v>
      </c>
      <c r="I65" s="98"/>
      <c r="J65" s="83"/>
      <c r="K65" s="35"/>
    </row>
    <row r="66">
      <c r="A66" s="28" t="s">
        <v>22</v>
      </c>
      <c r="B66" s="27" t="s">
        <v>94</v>
      </c>
      <c r="C66" s="28" t="s">
        <v>58</v>
      </c>
      <c r="D66" s="29" t="s">
        <v>69</v>
      </c>
      <c r="E66" s="30" t="s">
        <v>92</v>
      </c>
      <c r="F66" s="135" t="s">
        <v>71</v>
      </c>
      <c r="G66" s="146">
        <f>SUMIFS('Febrero Data'!C:C,'Febrero Data'!A:A,B66,'Febrero Data'!B:B,F66)</f>
        <v>2821205</v>
      </c>
      <c r="H66" s="32" t="str">
        <f>VLOOKUP(B66,'Febrero Data'!A:D,4,FALSE)</f>
        <v>UESP1527</v>
      </c>
      <c r="I66" s="33" t="s">
        <v>23</v>
      </c>
      <c r="J66" s="85">
        <f>J60+1</f>
        <v>533</v>
      </c>
      <c r="K66" s="35"/>
    </row>
    <row r="67">
      <c r="A67" s="71" t="s">
        <v>22</v>
      </c>
      <c r="B67" s="70" t="s">
        <v>94</v>
      </c>
      <c r="C67" s="71" t="s">
        <v>72</v>
      </c>
      <c r="D67" s="72" t="s">
        <v>69</v>
      </c>
      <c r="E67" s="73" t="s">
        <v>92</v>
      </c>
      <c r="F67" s="81" t="s">
        <v>73</v>
      </c>
      <c r="G67" s="148">
        <f>SUMIFS('Febrero Data'!C:C,'Febrero Data'!A:A,B67,'Febrero Data'!B:B,F67)</f>
        <v>61201.09</v>
      </c>
      <c r="H67" s="82" t="str">
        <f>VLOOKUP(B67,'Febrero Data'!A:D,4,FALSE)</f>
        <v>UESP1527</v>
      </c>
      <c r="I67" s="46" t="s">
        <v>23</v>
      </c>
      <c r="J67" s="83"/>
      <c r="K67" s="35"/>
    </row>
    <row r="68">
      <c r="A68" s="50" t="s">
        <v>22</v>
      </c>
      <c r="B68" s="40" t="s">
        <v>94</v>
      </c>
      <c r="C68" s="41" t="s">
        <v>72</v>
      </c>
      <c r="D68" s="50" t="s">
        <v>69</v>
      </c>
      <c r="E68" s="51" t="s">
        <v>92</v>
      </c>
      <c r="F68" s="50" t="s">
        <v>74</v>
      </c>
      <c r="G68" s="52">
        <f>G67+G66</f>
        <v>2882406.09</v>
      </c>
      <c r="H68" s="97" t="str">
        <f>VLOOKUP(B68,'Febrero Data'!A:D,4,FALSE)</f>
        <v>UESP1527</v>
      </c>
      <c r="I68" s="98"/>
      <c r="J68" s="78"/>
      <c r="K68" s="35"/>
    </row>
    <row r="69">
      <c r="A69" s="91" t="s">
        <v>22</v>
      </c>
      <c r="B69" s="27" t="s">
        <v>94</v>
      </c>
      <c r="C69" s="28" t="s">
        <v>59</v>
      </c>
      <c r="D69" s="56" t="s">
        <v>59</v>
      </c>
      <c r="E69" s="88"/>
      <c r="F69" s="41" t="s">
        <v>75</v>
      </c>
      <c r="G69" s="44">
        <f>G68*5%</f>
        <v>144120.3045</v>
      </c>
      <c r="H69" s="45" t="str">
        <f>VLOOKUP(B69,'Febrero Data'!A:D,4,FALSE)</f>
        <v>UESP1527</v>
      </c>
      <c r="I69" s="98"/>
      <c r="J69" s="92"/>
      <c r="K69" s="35"/>
    </row>
    <row r="70">
      <c r="A70" s="80" t="s">
        <v>22</v>
      </c>
      <c r="B70" s="70" t="s">
        <v>94</v>
      </c>
      <c r="C70" s="71" t="s">
        <v>59</v>
      </c>
      <c r="D70" s="81" t="s">
        <v>59</v>
      </c>
      <c r="E70" s="88"/>
      <c r="F70" s="71" t="s">
        <v>58</v>
      </c>
      <c r="G70" s="62">
        <f>G69</f>
        <v>144120.3045</v>
      </c>
      <c r="H70" s="82" t="str">
        <f>VLOOKUP(B70,'Febrero Data'!A:D,4,FALSE)</f>
        <v>UESP1527</v>
      </c>
      <c r="I70" s="98"/>
      <c r="J70" s="83"/>
      <c r="K70" s="35"/>
    </row>
    <row r="71">
      <c r="A71" s="28" t="s">
        <v>24</v>
      </c>
      <c r="B71" s="27" t="s">
        <v>95</v>
      </c>
      <c r="C71" s="28" t="s">
        <v>58</v>
      </c>
      <c r="D71" s="28" t="s">
        <v>69</v>
      </c>
      <c r="E71" s="30" t="s">
        <v>96</v>
      </c>
      <c r="F71" s="135" t="s">
        <v>71</v>
      </c>
      <c r="G71" s="146">
        <f>SUMIFS('Febrero Data'!C:C,'Febrero Data'!A:A,B71,'Febrero Data'!B:B,F71)</f>
        <v>2046666</v>
      </c>
      <c r="H71" s="32" t="str">
        <f>VLOOKUP(B71,'Febrero Data'!A:D,4,FALSE)</f>
        <v>UESP1531</v>
      </c>
      <c r="I71" s="33" t="s">
        <v>25</v>
      </c>
      <c r="J71" s="85">
        <f>J66+1</f>
        <v>534</v>
      </c>
      <c r="K71" s="35"/>
    </row>
    <row r="72">
      <c r="A72" s="71" t="s">
        <v>24</v>
      </c>
      <c r="B72" s="70" t="s">
        <v>95</v>
      </c>
      <c r="C72" s="71" t="s">
        <v>72</v>
      </c>
      <c r="D72" s="71" t="s">
        <v>69</v>
      </c>
      <c r="E72" s="73" t="s">
        <v>96</v>
      </c>
      <c r="F72" s="81" t="s">
        <v>73</v>
      </c>
      <c r="G72" s="148">
        <f>SUMIFS('Febrero Data'!C:C,'Febrero Data'!A:A,B72,'Febrero Data'!B:B,F72)</f>
        <v>0</v>
      </c>
      <c r="H72" s="82" t="str">
        <f>VLOOKUP(B72,'Febrero Data'!A:D,4,FALSE)</f>
        <v>UESP1531</v>
      </c>
      <c r="I72" s="46" t="s">
        <v>25</v>
      </c>
      <c r="J72" s="83"/>
      <c r="K72" s="35"/>
    </row>
    <row r="73">
      <c r="A73" s="50" t="s">
        <v>24</v>
      </c>
      <c r="B73" s="40" t="s">
        <v>95</v>
      </c>
      <c r="C73" s="41" t="s">
        <v>72</v>
      </c>
      <c r="D73" s="50" t="s">
        <v>69</v>
      </c>
      <c r="E73" s="51" t="s">
        <v>96</v>
      </c>
      <c r="F73" s="50" t="s">
        <v>74</v>
      </c>
      <c r="G73" s="52">
        <f>G72+G71</f>
        <v>2046666</v>
      </c>
      <c r="H73" s="97" t="str">
        <f>VLOOKUP(B73,'Febrero Data'!A:D,4,FALSE)</f>
        <v>UESP1531</v>
      </c>
      <c r="I73" s="98"/>
      <c r="J73" s="78"/>
      <c r="K73" s="35"/>
    </row>
    <row r="74">
      <c r="A74" s="91" t="s">
        <v>24</v>
      </c>
      <c r="B74" s="27" t="s">
        <v>95</v>
      </c>
      <c r="C74" s="28" t="s">
        <v>59</v>
      </c>
      <c r="D74" s="56" t="s">
        <v>59</v>
      </c>
      <c r="E74" s="88"/>
      <c r="F74" s="41" t="s">
        <v>75</v>
      </c>
      <c r="G74" s="44">
        <f>G73*5%</f>
        <v>102333.3</v>
      </c>
      <c r="H74" s="45" t="str">
        <f>VLOOKUP(B74,'Febrero Data'!A:D,4,FALSE)</f>
        <v>UESP1531</v>
      </c>
      <c r="I74" s="98"/>
      <c r="J74" s="92"/>
      <c r="K74" s="35"/>
    </row>
    <row r="75">
      <c r="A75" s="37" t="s">
        <v>24</v>
      </c>
      <c r="B75" s="40" t="s">
        <v>95</v>
      </c>
      <c r="C75" s="41" t="s">
        <v>59</v>
      </c>
      <c r="D75" s="56" t="s">
        <v>59</v>
      </c>
      <c r="E75" s="88"/>
      <c r="F75" s="41" t="s">
        <v>58</v>
      </c>
      <c r="G75" s="62">
        <f>G74</f>
        <v>102333.3</v>
      </c>
      <c r="H75" s="45" t="str">
        <f>VLOOKUP(B75,'Febrero Data'!A:D,4,FALSE)</f>
        <v>UESP1531</v>
      </c>
      <c r="I75" s="98"/>
      <c r="J75" s="79"/>
      <c r="K75" s="35"/>
    </row>
    <row r="76">
      <c r="A76" s="28" t="s">
        <v>26</v>
      </c>
      <c r="B76" s="27" t="s">
        <v>97</v>
      </c>
      <c r="C76" s="28" t="s">
        <v>58</v>
      </c>
      <c r="D76" s="29" t="s">
        <v>69</v>
      </c>
      <c r="E76" s="30" t="s">
        <v>82</v>
      </c>
      <c r="F76" s="135" t="s">
        <v>71</v>
      </c>
      <c r="G76" s="146">
        <f>SUMIFS('Febrero Data'!C:C,'Febrero Data'!A:A,B76,'Febrero Data'!B:B,F76)</f>
        <v>798603</v>
      </c>
      <c r="H76" s="63" t="str">
        <f>VLOOKUP(B76,'Febrero Data'!A:D,4,FALSE)</f>
        <v>UESP1522</v>
      </c>
      <c r="I76" s="64" t="s">
        <v>27</v>
      </c>
      <c r="J76" s="85">
        <f>J71+1</f>
        <v>535</v>
      </c>
      <c r="K76" s="35"/>
    </row>
    <row r="77">
      <c r="A77" s="41" t="s">
        <v>26</v>
      </c>
      <c r="B77" s="40" t="s">
        <v>97</v>
      </c>
      <c r="C77" s="41" t="s">
        <v>72</v>
      </c>
      <c r="D77" s="42" t="s">
        <v>69</v>
      </c>
      <c r="E77" s="43" t="s">
        <v>82</v>
      </c>
      <c r="F77" s="56" t="s">
        <v>73</v>
      </c>
      <c r="G77" s="147">
        <f>SUMIFS('Febrero Data'!C:C,'Febrero Data'!A:A,B77,'Febrero Data'!B:B,F77)</f>
        <v>2186.18</v>
      </c>
      <c r="H77" s="66" t="str">
        <f>VLOOKUP(B77,'Febrero Data'!A:D,4,FALSE)</f>
        <v>UESP1522</v>
      </c>
      <c r="I77" s="67" t="s">
        <v>27</v>
      </c>
      <c r="J77" s="79"/>
      <c r="K77" s="35"/>
    </row>
    <row r="78">
      <c r="A78" s="71" t="s">
        <v>26</v>
      </c>
      <c r="B78" s="70" t="s">
        <v>97</v>
      </c>
      <c r="C78" s="71" t="s">
        <v>72</v>
      </c>
      <c r="D78" s="72" t="s">
        <v>69</v>
      </c>
      <c r="E78" s="73"/>
      <c r="F78" s="81" t="s">
        <v>80</v>
      </c>
      <c r="G78" s="148">
        <f>(G76+G77)*2.5%</f>
        <v>20019.7295</v>
      </c>
      <c r="H78" s="66" t="str">
        <f>VLOOKUP(B78,'Febrero Data'!A:D,4,FALSE)</f>
        <v>UESP1522</v>
      </c>
      <c r="I78" s="71"/>
      <c r="J78" s="83"/>
      <c r="K78" s="35"/>
    </row>
    <row r="79">
      <c r="A79" s="50" t="s">
        <v>26</v>
      </c>
      <c r="B79" s="40" t="s">
        <v>97</v>
      </c>
      <c r="C79" s="41" t="s">
        <v>72</v>
      </c>
      <c r="D79" s="50" t="s">
        <v>69</v>
      </c>
      <c r="E79" s="51" t="s">
        <v>82</v>
      </c>
      <c r="F79" s="50" t="s">
        <v>74</v>
      </c>
      <c r="G79" s="52">
        <f>G76+G77-G78</f>
        <v>780769.4505</v>
      </c>
      <c r="H79" s="97" t="str">
        <f>VLOOKUP(B79,'Febrero Data'!A:D,4,FALSE)</f>
        <v>UESP1522</v>
      </c>
      <c r="I79" s="98"/>
      <c r="J79" s="78"/>
      <c r="K79" s="35"/>
    </row>
    <row r="80">
      <c r="A80" s="102" t="s">
        <v>26</v>
      </c>
      <c r="B80" s="27" t="s">
        <v>97</v>
      </c>
      <c r="C80" s="28" t="s">
        <v>59</v>
      </c>
      <c r="D80" s="56" t="s">
        <v>59</v>
      </c>
      <c r="E80" s="88"/>
      <c r="F80" s="41" t="s">
        <v>75</v>
      </c>
      <c r="G80" s="44">
        <f>G79*5%</f>
        <v>39038.47253</v>
      </c>
      <c r="H80" s="45" t="str">
        <f>VLOOKUP(B80,'Febrero Data'!A:D,4,FALSE)</f>
        <v>UESP1522</v>
      </c>
      <c r="I80" s="98"/>
      <c r="J80" s="92"/>
      <c r="K80" s="35"/>
    </row>
    <row r="81">
      <c r="A81" s="103" t="s">
        <v>26</v>
      </c>
      <c r="B81" s="40" t="s">
        <v>97</v>
      </c>
      <c r="C81" s="41" t="s">
        <v>59</v>
      </c>
      <c r="D81" s="56" t="s">
        <v>59</v>
      </c>
      <c r="E81" s="88"/>
      <c r="F81" s="41" t="s">
        <v>58</v>
      </c>
      <c r="G81" s="62">
        <f>G80</f>
        <v>39038.47253</v>
      </c>
      <c r="H81" s="45" t="str">
        <f>VLOOKUP(B81,'Febrero Data'!A:D,4,FALSE)</f>
        <v>UESP1522</v>
      </c>
      <c r="I81" s="98"/>
      <c r="J81" s="79"/>
      <c r="K81" s="35"/>
    </row>
    <row r="82">
      <c r="A82" s="28" t="s">
        <v>28</v>
      </c>
      <c r="B82" s="27" t="s">
        <v>98</v>
      </c>
      <c r="C82" s="28" t="s">
        <v>58</v>
      </c>
      <c r="D82" s="29" t="s">
        <v>69</v>
      </c>
      <c r="E82" s="30" t="s">
        <v>99</v>
      </c>
      <c r="F82" s="135" t="s">
        <v>71</v>
      </c>
      <c r="G82" s="146">
        <f>SUMIFS('Febrero Data'!C:C,'Febrero Data'!A:A,B82,'Febrero Data'!B:B,F82)</f>
        <v>2150266</v>
      </c>
      <c r="H82" s="63" t="str">
        <f>VLOOKUP(B82,'Febrero Data'!A:D,4,FALSE)</f>
        <v>UESP1517</v>
      </c>
      <c r="I82" s="64" t="s">
        <v>29</v>
      </c>
      <c r="J82" s="85">
        <f>J76+1</f>
        <v>536</v>
      </c>
      <c r="K82" s="35"/>
    </row>
    <row r="83">
      <c r="A83" s="41" t="s">
        <v>28</v>
      </c>
      <c r="B83" s="40" t="s">
        <v>98</v>
      </c>
      <c r="C83" s="41" t="s">
        <v>72</v>
      </c>
      <c r="D83" s="42" t="s">
        <v>69</v>
      </c>
      <c r="E83" s="43" t="s">
        <v>99</v>
      </c>
      <c r="F83" s="56" t="s">
        <v>73</v>
      </c>
      <c r="G83" s="147">
        <f>SUMIFS('Febrero Data'!C:C,'Febrero Data'!A:A,B83,'Febrero Data'!B:B,F83)</f>
        <v>0</v>
      </c>
      <c r="H83" s="66" t="str">
        <f>VLOOKUP(B83,'Febrero Data'!A:D,4,FALSE)</f>
        <v>UESP1517</v>
      </c>
      <c r="I83" s="67" t="s">
        <v>29</v>
      </c>
      <c r="J83" s="79"/>
      <c r="K83" s="35"/>
    </row>
    <row r="84">
      <c r="A84" s="41" t="s">
        <v>28</v>
      </c>
      <c r="B84" s="40" t="s">
        <v>98</v>
      </c>
      <c r="C84" s="41" t="s">
        <v>72</v>
      </c>
      <c r="D84" s="42" t="s">
        <v>69</v>
      </c>
      <c r="F84" s="56" t="s">
        <v>80</v>
      </c>
      <c r="G84" s="147">
        <f>(G82+G83)*4%</f>
        <v>86010.64</v>
      </c>
      <c r="H84" s="66" t="str">
        <f>VLOOKUP(B84,'Febrero Data'!A:D,4,FALSE)</f>
        <v>UESP1517</v>
      </c>
      <c r="I84" s="41"/>
      <c r="J84" s="79"/>
      <c r="K84" s="35"/>
    </row>
    <row r="85">
      <c r="A85" s="71" t="s">
        <v>28</v>
      </c>
      <c r="B85" s="70" t="s">
        <v>98</v>
      </c>
      <c r="C85" s="71" t="s">
        <v>72</v>
      </c>
      <c r="D85" s="72" t="s">
        <v>69</v>
      </c>
      <c r="E85" s="73"/>
      <c r="F85" s="81" t="s">
        <v>100</v>
      </c>
      <c r="G85" s="148">
        <f>(G82+G83)*0.4%</f>
        <v>8601.064</v>
      </c>
      <c r="H85" s="66" t="str">
        <f>VLOOKUP(B85,'Febrero Data'!A:D,4,FALSE)</f>
        <v>UESP1517</v>
      </c>
      <c r="I85" s="71"/>
      <c r="J85" s="83"/>
      <c r="K85" s="35"/>
    </row>
    <row r="86">
      <c r="A86" s="50" t="s">
        <v>28</v>
      </c>
      <c r="B86" s="40" t="s">
        <v>98</v>
      </c>
      <c r="C86" s="41" t="s">
        <v>72</v>
      </c>
      <c r="D86" s="50" t="s">
        <v>69</v>
      </c>
      <c r="E86" s="51" t="s">
        <v>99</v>
      </c>
      <c r="F86" s="50" t="s">
        <v>74</v>
      </c>
      <c r="G86" s="52">
        <f>G82+G83-G84-G85</f>
        <v>2055654.296</v>
      </c>
      <c r="H86" s="97" t="str">
        <f>VLOOKUP(B86,'Febrero Data'!A:D,4,FALSE)</f>
        <v>UESP1517</v>
      </c>
      <c r="I86" s="98"/>
      <c r="J86" s="78"/>
      <c r="K86" s="35"/>
    </row>
    <row r="87">
      <c r="A87" s="91" t="s">
        <v>28</v>
      </c>
      <c r="B87" s="27" t="s">
        <v>98</v>
      </c>
      <c r="C87" s="28" t="s">
        <v>59</v>
      </c>
      <c r="D87" s="56" t="s">
        <v>59</v>
      </c>
      <c r="E87" s="88"/>
      <c r="F87" s="41" t="s">
        <v>75</v>
      </c>
      <c r="G87" s="44">
        <f>G86*5%</f>
        <v>102782.7148</v>
      </c>
      <c r="H87" s="45" t="str">
        <f>VLOOKUP(B87,'Febrero Data'!A:D,4,FALSE)</f>
        <v>UESP1517</v>
      </c>
      <c r="I87" s="98"/>
      <c r="J87" s="92"/>
      <c r="K87" s="35"/>
    </row>
    <row r="88">
      <c r="A88" s="80" t="s">
        <v>28</v>
      </c>
      <c r="B88" s="70" t="s">
        <v>98</v>
      </c>
      <c r="C88" s="71" t="s">
        <v>59</v>
      </c>
      <c r="D88" s="81" t="s">
        <v>59</v>
      </c>
      <c r="E88" s="88"/>
      <c r="F88" s="71" t="s">
        <v>58</v>
      </c>
      <c r="G88" s="62">
        <f>G87</f>
        <v>102782.7148</v>
      </c>
      <c r="H88" s="82" t="str">
        <f>VLOOKUP(B88,'Febrero Data'!A:D,4,FALSE)</f>
        <v>UESP1517</v>
      </c>
      <c r="I88" s="98"/>
      <c r="J88" s="83"/>
      <c r="K88" s="35"/>
    </row>
    <row r="89">
      <c r="A89" s="28" t="s">
        <v>30</v>
      </c>
      <c r="B89" s="27" t="s">
        <v>101</v>
      </c>
      <c r="C89" s="28" t="s">
        <v>58</v>
      </c>
      <c r="D89" s="29" t="s">
        <v>69</v>
      </c>
      <c r="E89" s="30" t="s">
        <v>102</v>
      </c>
      <c r="F89" s="135" t="s">
        <v>71</v>
      </c>
      <c r="G89" s="146">
        <f>SUMIFS('Febrero Data'!C:C,'Febrero Data'!A:A,B89,'Febrero Data'!B:B,F89)</f>
        <v>3438237</v>
      </c>
      <c r="H89" s="32" t="str">
        <f>VLOOKUP(B89,'Febrero Data'!A:D,4,FALSE)</f>
        <v>UESP1530</v>
      </c>
      <c r="I89" s="33" t="s">
        <v>31</v>
      </c>
      <c r="J89" s="85">
        <f>J82+1</f>
        <v>537</v>
      </c>
      <c r="K89" s="35"/>
    </row>
    <row r="90">
      <c r="A90" s="71" t="s">
        <v>30</v>
      </c>
      <c r="B90" s="70" t="s">
        <v>101</v>
      </c>
      <c r="C90" s="71" t="s">
        <v>72</v>
      </c>
      <c r="D90" s="72" t="s">
        <v>69</v>
      </c>
      <c r="E90" s="73" t="s">
        <v>102</v>
      </c>
      <c r="F90" s="81" t="s">
        <v>73</v>
      </c>
      <c r="G90" s="148">
        <f>SUMIFS('Febrero Data'!C:C,'Febrero Data'!A:A,B90,'Febrero Data'!B:B,F90)</f>
        <v>4258.39</v>
      </c>
      <c r="H90" s="82" t="str">
        <f>VLOOKUP(B90,'Febrero Data'!A:D,4,FALSE)</f>
        <v>UESP1530</v>
      </c>
      <c r="I90" s="46" t="s">
        <v>31</v>
      </c>
      <c r="J90" s="83"/>
      <c r="K90" s="35"/>
    </row>
    <row r="91">
      <c r="A91" s="50" t="s">
        <v>30</v>
      </c>
      <c r="B91" s="40" t="s">
        <v>101</v>
      </c>
      <c r="C91" s="41" t="s">
        <v>72</v>
      </c>
      <c r="D91" s="50" t="s">
        <v>69</v>
      </c>
      <c r="E91" s="51" t="s">
        <v>102</v>
      </c>
      <c r="F91" s="50" t="s">
        <v>74</v>
      </c>
      <c r="G91" s="52">
        <f>G90+G89</f>
        <v>3442495.39</v>
      </c>
      <c r="H91" s="97" t="str">
        <f>VLOOKUP(B91,'Febrero Data'!A:D,4,FALSE)</f>
        <v>UESP1530</v>
      </c>
      <c r="I91" s="98"/>
      <c r="J91" s="78"/>
      <c r="K91" s="35"/>
    </row>
    <row r="92">
      <c r="A92" s="91" t="s">
        <v>30</v>
      </c>
      <c r="B92" s="27" t="s">
        <v>101</v>
      </c>
      <c r="C92" s="28" t="s">
        <v>59</v>
      </c>
      <c r="D92" s="56" t="s">
        <v>59</v>
      </c>
      <c r="E92" s="88"/>
      <c r="F92" s="41" t="s">
        <v>75</v>
      </c>
      <c r="G92" s="44">
        <f>G91*5%</f>
        <v>172124.7695</v>
      </c>
      <c r="H92" s="45" t="str">
        <f>VLOOKUP(B92,'Febrero Data'!A:D,4,FALSE)</f>
        <v>UESP1530</v>
      </c>
      <c r="I92" s="98"/>
      <c r="J92" s="92"/>
      <c r="K92" s="35"/>
    </row>
    <row r="93">
      <c r="A93" s="80" t="s">
        <v>30</v>
      </c>
      <c r="B93" s="70" t="s">
        <v>101</v>
      </c>
      <c r="C93" s="71" t="s">
        <v>59</v>
      </c>
      <c r="D93" s="81" t="s">
        <v>59</v>
      </c>
      <c r="E93" s="88"/>
      <c r="F93" s="71" t="s">
        <v>58</v>
      </c>
      <c r="G93" s="62">
        <f>G92</f>
        <v>172124.7695</v>
      </c>
      <c r="H93" s="82" t="str">
        <f>VLOOKUP(B93,'Febrero Data'!A:D,4,FALSE)</f>
        <v>UESP1530</v>
      </c>
      <c r="I93" s="98"/>
      <c r="J93" s="83"/>
      <c r="K93" s="35"/>
    </row>
    <row r="94">
      <c r="A94" s="28" t="s">
        <v>32</v>
      </c>
      <c r="B94" s="27" t="s">
        <v>103</v>
      </c>
      <c r="C94" s="28" t="s">
        <v>58</v>
      </c>
      <c r="D94" s="29" t="s">
        <v>69</v>
      </c>
      <c r="E94" s="30" t="s">
        <v>104</v>
      </c>
      <c r="F94" s="135" t="s">
        <v>71</v>
      </c>
      <c r="G94" s="146">
        <f>SUMIFS('Febrero Data'!C:C,'Febrero Data'!A:A,B94,'Febrero Data'!B:B,F94)</f>
        <v>2200048</v>
      </c>
      <c r="H94" s="32" t="str">
        <f>VLOOKUP(B94,'Febrero Data'!A:D,4,FALSE)</f>
        <v>UESP1535</v>
      </c>
      <c r="I94" s="33" t="s">
        <v>33</v>
      </c>
      <c r="J94" s="85">
        <f>J89+1</f>
        <v>538</v>
      </c>
      <c r="K94" s="35"/>
    </row>
    <row r="95">
      <c r="A95" s="71" t="s">
        <v>32</v>
      </c>
      <c r="B95" s="70" t="s">
        <v>103</v>
      </c>
      <c r="C95" s="71" t="s">
        <v>72</v>
      </c>
      <c r="D95" s="72" t="s">
        <v>69</v>
      </c>
      <c r="E95" s="73" t="s">
        <v>104</v>
      </c>
      <c r="F95" s="81" t="s">
        <v>73</v>
      </c>
      <c r="G95" s="148">
        <f>SUMIFS('Febrero Data'!C:C,'Febrero Data'!A:A,B95,'Febrero Data'!B:B,F95)</f>
        <v>2118</v>
      </c>
      <c r="H95" s="82" t="str">
        <f>VLOOKUP(B95,'Febrero Data'!A:D,4,FALSE)</f>
        <v>UESP1535</v>
      </c>
      <c r="I95" s="46" t="s">
        <v>33</v>
      </c>
      <c r="J95" s="83"/>
      <c r="K95" s="35"/>
    </row>
    <row r="96">
      <c r="A96" s="50" t="s">
        <v>32</v>
      </c>
      <c r="B96" s="40" t="s">
        <v>103</v>
      </c>
      <c r="C96" s="41" t="s">
        <v>72</v>
      </c>
      <c r="D96" s="50" t="s">
        <v>69</v>
      </c>
      <c r="E96" s="51" t="s">
        <v>104</v>
      </c>
      <c r="F96" s="50" t="s">
        <v>74</v>
      </c>
      <c r="G96" s="52">
        <f>G95+G94</f>
        <v>2202166</v>
      </c>
      <c r="H96" s="97" t="str">
        <f>VLOOKUP(B96,'Febrero Data'!A:D,4,FALSE)</f>
        <v>UESP1535</v>
      </c>
      <c r="I96" s="98"/>
      <c r="J96" s="78"/>
      <c r="K96" s="35"/>
    </row>
    <row r="97">
      <c r="A97" s="102" t="s">
        <v>32</v>
      </c>
      <c r="B97" s="27" t="s">
        <v>103</v>
      </c>
      <c r="C97" s="28" t="s">
        <v>59</v>
      </c>
      <c r="D97" s="56" t="s">
        <v>59</v>
      </c>
      <c r="E97" s="88"/>
      <c r="F97" s="41" t="s">
        <v>75</v>
      </c>
      <c r="G97" s="44">
        <f>G96*5%</f>
        <v>110108.3</v>
      </c>
      <c r="H97" s="45" t="str">
        <f>VLOOKUP(B97,'Febrero Data'!A:D,4,FALSE)</f>
        <v>UESP1535</v>
      </c>
      <c r="I97" s="98"/>
      <c r="J97" s="92"/>
      <c r="K97" s="35"/>
    </row>
    <row r="98">
      <c r="A98" s="103" t="s">
        <v>32</v>
      </c>
      <c r="B98" s="40" t="s">
        <v>103</v>
      </c>
      <c r="C98" s="41" t="s">
        <v>59</v>
      </c>
      <c r="D98" s="56" t="s">
        <v>59</v>
      </c>
      <c r="E98" s="88"/>
      <c r="F98" s="41" t="s">
        <v>58</v>
      </c>
      <c r="G98" s="62">
        <f>G97</f>
        <v>110108.3</v>
      </c>
      <c r="H98" s="45" t="str">
        <f>VLOOKUP(B98,'Febrero Data'!A:D,4,FALSE)</f>
        <v>UESP1535</v>
      </c>
      <c r="I98" s="98"/>
      <c r="J98" s="79"/>
      <c r="K98" s="35"/>
    </row>
    <row r="99">
      <c r="A99" s="28" t="s">
        <v>34</v>
      </c>
      <c r="B99" s="27" t="s">
        <v>105</v>
      </c>
      <c r="C99" s="28" t="s">
        <v>58</v>
      </c>
      <c r="D99" s="29" t="s">
        <v>69</v>
      </c>
      <c r="E99" s="30" t="s">
        <v>99</v>
      </c>
      <c r="F99" s="135" t="s">
        <v>71</v>
      </c>
      <c r="G99" s="146">
        <f>SUMIFS('Febrero Data'!C:C,'Febrero Data'!A:A,B99,'Febrero Data'!B:B,F99)</f>
        <v>11034808</v>
      </c>
      <c r="H99" s="63" t="str">
        <f>VLOOKUP(B99,'Febrero Data'!A:D,4,FALSE)</f>
        <v>UESP1521</v>
      </c>
      <c r="I99" s="64" t="s">
        <v>35</v>
      </c>
      <c r="J99" s="85">
        <f>J94+1</f>
        <v>539</v>
      </c>
      <c r="K99" s="35"/>
    </row>
    <row r="100">
      <c r="A100" s="41" t="s">
        <v>34</v>
      </c>
      <c r="B100" s="40" t="s">
        <v>105</v>
      </c>
      <c r="C100" s="41" t="s">
        <v>72</v>
      </c>
      <c r="D100" s="42" t="s">
        <v>69</v>
      </c>
      <c r="E100" s="43" t="s">
        <v>99</v>
      </c>
      <c r="F100" s="56" t="s">
        <v>73</v>
      </c>
      <c r="G100" s="147">
        <f>SUMIFS('Febrero Data'!C:C,'Febrero Data'!A:A,B100,'Febrero Data'!B:B,F100)</f>
        <v>0</v>
      </c>
      <c r="H100" s="66" t="str">
        <f>VLOOKUP(B100,'Febrero Data'!A:D,4,FALSE)</f>
        <v>UESP1521</v>
      </c>
      <c r="I100" s="67" t="s">
        <v>35</v>
      </c>
      <c r="J100" s="79"/>
      <c r="K100" s="35"/>
    </row>
    <row r="101">
      <c r="A101" s="41" t="s">
        <v>34</v>
      </c>
      <c r="B101" s="40" t="s">
        <v>105</v>
      </c>
      <c r="C101" s="41" t="s">
        <v>72</v>
      </c>
      <c r="D101" s="42" t="s">
        <v>69</v>
      </c>
      <c r="F101" s="56" t="s">
        <v>80</v>
      </c>
      <c r="G101" s="147">
        <f>(G99+G100)*4%</f>
        <v>441392.32</v>
      </c>
      <c r="H101" s="66" t="str">
        <f>VLOOKUP(B101,'Febrero Data'!A:D,4,FALSE)</f>
        <v>UESP1521</v>
      </c>
      <c r="I101" s="41"/>
      <c r="J101" s="79"/>
      <c r="K101" s="35"/>
    </row>
    <row r="102">
      <c r="A102" s="71" t="s">
        <v>34</v>
      </c>
      <c r="B102" s="70" t="s">
        <v>105</v>
      </c>
      <c r="C102" s="71" t="s">
        <v>72</v>
      </c>
      <c r="D102" s="72" t="s">
        <v>69</v>
      </c>
      <c r="E102" s="73"/>
      <c r="F102" s="81" t="s">
        <v>100</v>
      </c>
      <c r="G102" s="148">
        <f>(G99+G100)*0.8%</f>
        <v>88278.464</v>
      </c>
      <c r="H102" s="66" t="str">
        <f>VLOOKUP(B102,'Febrero Data'!A:D,4,FALSE)</f>
        <v>UESP1521</v>
      </c>
      <c r="I102" s="71"/>
      <c r="J102" s="83"/>
      <c r="K102" s="35"/>
    </row>
    <row r="103">
      <c r="A103" s="50" t="s">
        <v>34</v>
      </c>
      <c r="B103" s="40" t="s">
        <v>105</v>
      </c>
      <c r="C103" s="41" t="s">
        <v>72</v>
      </c>
      <c r="D103" s="50" t="s">
        <v>69</v>
      </c>
      <c r="E103" s="51" t="s">
        <v>99</v>
      </c>
      <c r="F103" s="50" t="s">
        <v>74</v>
      </c>
      <c r="G103" s="52">
        <f>G99+G100-G101-G102</f>
        <v>10505137.22</v>
      </c>
      <c r="H103" s="97" t="str">
        <f>VLOOKUP(B103,'Febrero Data'!A:D,4,FALSE)</f>
        <v>UESP1521</v>
      </c>
      <c r="I103" s="98"/>
      <c r="J103" s="78"/>
      <c r="K103" s="35"/>
    </row>
    <row r="104">
      <c r="A104" s="91" t="s">
        <v>34</v>
      </c>
      <c r="B104" s="27" t="s">
        <v>105</v>
      </c>
      <c r="C104" s="28" t="s">
        <v>59</v>
      </c>
      <c r="D104" s="56" t="s">
        <v>59</v>
      </c>
      <c r="E104" s="88"/>
      <c r="F104" s="41" t="s">
        <v>75</v>
      </c>
      <c r="G104" s="44">
        <f>G103*5%</f>
        <v>525256.8608</v>
      </c>
      <c r="H104" s="45" t="str">
        <f>VLOOKUP(B104,'Febrero Data'!A:D,4,FALSE)</f>
        <v>UESP1521</v>
      </c>
      <c r="I104" s="98"/>
      <c r="J104" s="92"/>
      <c r="K104" s="35"/>
    </row>
    <row r="105">
      <c r="A105" s="80" t="s">
        <v>34</v>
      </c>
      <c r="B105" s="70" t="s">
        <v>105</v>
      </c>
      <c r="C105" s="71" t="s">
        <v>59</v>
      </c>
      <c r="D105" s="81" t="s">
        <v>59</v>
      </c>
      <c r="E105" s="88"/>
      <c r="F105" s="71" t="s">
        <v>58</v>
      </c>
      <c r="G105" s="62">
        <f>G104</f>
        <v>525256.8608</v>
      </c>
      <c r="H105" s="82" t="str">
        <f>VLOOKUP(B105,'Febrero Data'!A:D,4,FALSE)</f>
        <v>UESP1521</v>
      </c>
      <c r="I105" s="98"/>
      <c r="J105" s="83"/>
      <c r="K105" s="35"/>
    </row>
    <row r="106">
      <c r="A106" s="28" t="s">
        <v>44</v>
      </c>
      <c r="B106" s="27" t="s">
        <v>106</v>
      </c>
      <c r="C106" s="28" t="s">
        <v>58</v>
      </c>
      <c r="D106" s="29" t="s">
        <v>69</v>
      </c>
      <c r="E106" s="30" t="s">
        <v>107</v>
      </c>
      <c r="F106" s="135" t="s">
        <v>71</v>
      </c>
      <c r="G106" s="146">
        <f>SUMIFS('Febrero Data'!C:C,'Febrero Data'!A:A,B106,'Febrero Data'!B:B,F106)</f>
        <v>4124621</v>
      </c>
      <c r="H106" s="32" t="str">
        <f>VLOOKUP(B106,'Febrero Data'!A:D,4,FALSE)</f>
        <v>UESP1532</v>
      </c>
      <c r="I106" s="33" t="s">
        <v>45</v>
      </c>
      <c r="J106" s="85">
        <f>J99+1</f>
        <v>540</v>
      </c>
      <c r="K106" s="35"/>
    </row>
    <row r="107">
      <c r="A107" s="71" t="s">
        <v>44</v>
      </c>
      <c r="B107" s="70" t="s">
        <v>106</v>
      </c>
      <c r="C107" s="71" t="s">
        <v>72</v>
      </c>
      <c r="D107" s="72" t="s">
        <v>69</v>
      </c>
      <c r="E107" s="73" t="s">
        <v>107</v>
      </c>
      <c r="F107" s="81" t="s">
        <v>73</v>
      </c>
      <c r="G107" s="148">
        <f>SUMIFS('Febrero Data'!C:C,'Febrero Data'!A:A,B107,'Febrero Data'!B:B,F107)</f>
        <v>0</v>
      </c>
      <c r="H107" s="82" t="str">
        <f>VLOOKUP(B107,'Febrero Data'!A:D,4,FALSE)</f>
        <v>UESP1532</v>
      </c>
      <c r="I107" s="46" t="s">
        <v>45</v>
      </c>
      <c r="J107" s="83"/>
      <c r="K107" s="35"/>
    </row>
    <row r="108">
      <c r="A108" s="50" t="s">
        <v>44</v>
      </c>
      <c r="B108" s="40" t="s">
        <v>106</v>
      </c>
      <c r="C108" s="41" t="s">
        <v>72</v>
      </c>
      <c r="D108" s="50" t="s">
        <v>69</v>
      </c>
      <c r="E108" s="51" t="s">
        <v>107</v>
      </c>
      <c r="F108" s="50" t="s">
        <v>74</v>
      </c>
      <c r="G108" s="52">
        <f>G107+G106</f>
        <v>4124621</v>
      </c>
      <c r="H108" s="97" t="str">
        <f>VLOOKUP(B108,'Febrero Data'!A:D,4,FALSE)</f>
        <v>UESP1532</v>
      </c>
      <c r="I108" s="98"/>
      <c r="J108" s="78"/>
      <c r="K108" s="35"/>
    </row>
    <row r="109">
      <c r="A109" s="91" t="s">
        <v>44</v>
      </c>
      <c r="B109" s="27" t="s">
        <v>106</v>
      </c>
      <c r="C109" s="28" t="s">
        <v>59</v>
      </c>
      <c r="D109" s="56" t="s">
        <v>59</v>
      </c>
      <c r="E109" s="88"/>
      <c r="F109" s="41" t="s">
        <v>75</v>
      </c>
      <c r="G109" s="44">
        <f>G108*5%</f>
        <v>206231.05</v>
      </c>
      <c r="H109" s="45" t="str">
        <f>VLOOKUP(B109,'Febrero Data'!A:D,4,FALSE)</f>
        <v>UESP1532</v>
      </c>
      <c r="I109" s="98"/>
      <c r="J109" s="92"/>
      <c r="K109" s="35"/>
    </row>
    <row r="110">
      <c r="A110" s="37" t="s">
        <v>44</v>
      </c>
      <c r="B110" s="40" t="s">
        <v>106</v>
      </c>
      <c r="C110" s="41" t="s">
        <v>59</v>
      </c>
      <c r="D110" s="56" t="s">
        <v>59</v>
      </c>
      <c r="E110" s="88"/>
      <c r="F110" s="41" t="s">
        <v>58</v>
      </c>
      <c r="G110" s="62">
        <f>G109</f>
        <v>206231.05</v>
      </c>
      <c r="H110" s="45" t="str">
        <f>VLOOKUP(B110,'Febrero Data'!A:D,4,FALSE)</f>
        <v>UESP1532</v>
      </c>
      <c r="I110" s="98"/>
      <c r="J110" s="79"/>
      <c r="K110" s="35"/>
    </row>
    <row r="111" ht="14.25" customHeight="1">
      <c r="A111" s="28" t="s">
        <v>36</v>
      </c>
      <c r="B111" s="27" t="s">
        <v>143</v>
      </c>
      <c r="C111" s="28" t="s">
        <v>58</v>
      </c>
      <c r="D111" s="29" t="s">
        <v>69</v>
      </c>
      <c r="E111" s="30" t="s">
        <v>82</v>
      </c>
      <c r="F111" s="149" t="s">
        <v>71</v>
      </c>
      <c r="G111" s="150">
        <f>SUMIFS('Febrero Data'!C:C,'Febrero Data'!A:A,B111,'Febrero Data'!B:B,F111)</f>
        <v>2605612</v>
      </c>
      <c r="H111" s="63" t="str">
        <f>VLOOKUP(B111,'Febrero Data'!A:D,4,FALSE)</f>
        <v>UESP1520</v>
      </c>
      <c r="I111" s="64" t="s">
        <v>37</v>
      </c>
      <c r="J111" s="85">
        <f>J106+1</f>
        <v>541</v>
      </c>
      <c r="K111" s="35"/>
    </row>
    <row r="112" ht="14.25" customHeight="1">
      <c r="A112" s="41" t="s">
        <v>36</v>
      </c>
      <c r="B112" s="40" t="s">
        <v>143</v>
      </c>
      <c r="C112" s="41" t="s">
        <v>72</v>
      </c>
      <c r="D112" s="42" t="s">
        <v>69</v>
      </c>
      <c r="E112" s="43" t="s">
        <v>82</v>
      </c>
      <c r="F112" s="151" t="s">
        <v>73</v>
      </c>
      <c r="G112" s="152">
        <f>SUMIFS('Febrero Data'!C:C,'Febrero Data'!A:A,B112,'Febrero Data'!B:B,F112)</f>
        <v>29819.04</v>
      </c>
      <c r="H112" s="66" t="str">
        <f>VLOOKUP(B112,'Febrero Data'!A:D,4,FALSE)</f>
        <v>UESP1520</v>
      </c>
      <c r="I112" s="67" t="s">
        <v>37</v>
      </c>
      <c r="J112" s="79"/>
      <c r="K112" s="35"/>
    </row>
    <row r="113" ht="14.25" customHeight="1">
      <c r="A113" s="71" t="s">
        <v>36</v>
      </c>
      <c r="B113" s="70" t="s">
        <v>143</v>
      </c>
      <c r="C113" s="71" t="s">
        <v>72</v>
      </c>
      <c r="D113" s="72" t="s">
        <v>69</v>
      </c>
      <c r="E113" s="73"/>
      <c r="F113" s="153" t="s">
        <v>80</v>
      </c>
      <c r="G113" s="154">
        <f>(G111+G112)*4%</f>
        <v>105417.2416</v>
      </c>
      <c r="H113" s="66" t="str">
        <f>VLOOKUP(B113,'Febrero Data'!A:D,4,FALSE)</f>
        <v>UESP1520</v>
      </c>
      <c r="I113" s="71"/>
      <c r="J113" s="83"/>
      <c r="K113" s="35"/>
    </row>
    <row r="114" ht="14.25" customHeight="1">
      <c r="A114" s="50" t="s">
        <v>36</v>
      </c>
      <c r="B114" s="70" t="s">
        <v>143</v>
      </c>
      <c r="C114" s="71" t="s">
        <v>72</v>
      </c>
      <c r="D114" s="111" t="s">
        <v>69</v>
      </c>
      <c r="E114" s="112" t="s">
        <v>82</v>
      </c>
      <c r="F114" s="50" t="s">
        <v>74</v>
      </c>
      <c r="G114" s="52">
        <f>G111+G112-G113</f>
        <v>2530013.798</v>
      </c>
      <c r="H114" s="113" t="str">
        <f>VLOOKUP(B114,'Febrero Data'!A:D,4,FALSE)</f>
        <v>UESP1520</v>
      </c>
      <c r="I114" s="114"/>
      <c r="J114" s="155"/>
      <c r="K114" s="35"/>
    </row>
    <row r="115" ht="14.25" customHeight="1">
      <c r="A115" s="91" t="s">
        <v>36</v>
      </c>
      <c r="B115" s="27" t="s">
        <v>143</v>
      </c>
      <c r="C115" s="28" t="s">
        <v>59</v>
      </c>
      <c r="D115" s="56" t="s">
        <v>59</v>
      </c>
      <c r="E115" s="88"/>
      <c r="F115" s="41" t="s">
        <v>75</v>
      </c>
      <c r="G115" s="44">
        <f>G114*5%</f>
        <v>126500.6899</v>
      </c>
      <c r="H115" s="45" t="str">
        <f>VLOOKUP(B115,'Febrero Data'!A:D,4,FALSE)</f>
        <v>UESP1520</v>
      </c>
      <c r="I115" s="51"/>
      <c r="J115" s="92"/>
      <c r="K115" s="35"/>
    </row>
    <row r="116" ht="14.25" customHeight="1">
      <c r="A116" s="80" t="s">
        <v>36</v>
      </c>
      <c r="B116" s="70" t="s">
        <v>143</v>
      </c>
      <c r="C116" s="71" t="s">
        <v>59</v>
      </c>
      <c r="D116" s="81" t="s">
        <v>59</v>
      </c>
      <c r="E116" s="88"/>
      <c r="F116" s="71" t="s">
        <v>58</v>
      </c>
      <c r="G116" s="62">
        <f>G115</f>
        <v>126500.6899</v>
      </c>
      <c r="H116" s="82" t="str">
        <f>VLOOKUP(B116,'Febrero Data'!A:D,4,FALSE)</f>
        <v>UESP1520</v>
      </c>
      <c r="I116" s="51"/>
      <c r="J116" s="83"/>
      <c r="K116" s="35"/>
    </row>
    <row r="117">
      <c r="B117" s="116"/>
      <c r="G117" s="117"/>
      <c r="H117" s="118"/>
      <c r="J117" s="119"/>
      <c r="K117" s="35"/>
    </row>
    <row r="118">
      <c r="B118" s="116"/>
      <c r="G118" s="117"/>
      <c r="H118" s="118"/>
      <c r="J118" s="119"/>
      <c r="K118" s="35"/>
    </row>
    <row r="119">
      <c r="B119" s="116"/>
      <c r="G119" s="117"/>
      <c r="H119" s="118"/>
      <c r="J119" s="119"/>
      <c r="K119" s="35"/>
    </row>
    <row r="120">
      <c r="B120" s="116"/>
      <c r="G120" s="117"/>
      <c r="H120" s="118"/>
      <c r="J120" s="119"/>
      <c r="K120" s="35"/>
    </row>
    <row r="121">
      <c r="B121" s="116"/>
      <c r="G121" s="117"/>
      <c r="H121" s="118"/>
      <c r="J121" s="119"/>
      <c r="K121" s="35"/>
    </row>
    <row r="122">
      <c r="B122" s="116"/>
      <c r="G122" s="117"/>
      <c r="H122" s="118"/>
      <c r="J122" s="119"/>
      <c r="K122" s="35"/>
    </row>
    <row r="123">
      <c r="B123" s="116"/>
      <c r="G123" s="117"/>
      <c r="H123" s="118"/>
      <c r="J123" s="119"/>
      <c r="K123" s="35"/>
    </row>
    <row r="124">
      <c r="B124" s="116"/>
      <c r="G124" s="117"/>
      <c r="H124" s="118"/>
      <c r="J124" s="119"/>
      <c r="K124" s="35"/>
    </row>
    <row r="125">
      <c r="B125" s="116"/>
      <c r="G125" s="117"/>
      <c r="H125" s="118"/>
      <c r="J125" s="119"/>
      <c r="K125" s="35"/>
    </row>
    <row r="126">
      <c r="B126" s="116"/>
      <c r="G126" s="117"/>
      <c r="H126" s="118"/>
      <c r="J126" s="119"/>
      <c r="K126" s="35"/>
    </row>
    <row r="127">
      <c r="B127" s="116"/>
      <c r="G127" s="117"/>
      <c r="H127" s="118"/>
      <c r="J127" s="119"/>
      <c r="K127" s="35"/>
    </row>
    <row r="128">
      <c r="B128" s="116"/>
      <c r="G128" s="117"/>
      <c r="H128" s="118"/>
      <c r="J128" s="119"/>
      <c r="K128" s="35"/>
    </row>
    <row r="129">
      <c r="B129" s="116"/>
      <c r="G129" s="117"/>
      <c r="H129" s="118"/>
      <c r="J129" s="119"/>
      <c r="K129" s="35"/>
    </row>
    <row r="130">
      <c r="B130" s="116"/>
      <c r="G130" s="117"/>
      <c r="H130" s="118"/>
      <c r="J130" s="119"/>
      <c r="K130" s="35"/>
    </row>
    <row r="131">
      <c r="B131" s="116"/>
      <c r="G131" s="117"/>
      <c r="H131" s="118"/>
      <c r="J131" s="119"/>
      <c r="K131" s="35"/>
    </row>
    <row r="132">
      <c r="B132" s="116"/>
      <c r="G132" s="117"/>
      <c r="H132" s="118"/>
      <c r="J132" s="119"/>
      <c r="K132" s="35"/>
    </row>
    <row r="133">
      <c r="B133" s="116"/>
      <c r="G133" s="117"/>
      <c r="H133" s="118"/>
      <c r="J133" s="119"/>
      <c r="K133" s="35"/>
    </row>
    <row r="134">
      <c r="B134" s="116"/>
      <c r="G134" s="117"/>
      <c r="H134" s="118"/>
      <c r="J134" s="119"/>
      <c r="K134" s="35"/>
    </row>
    <row r="135">
      <c r="B135" s="116"/>
      <c r="G135" s="117"/>
      <c r="H135" s="118"/>
      <c r="J135" s="119"/>
      <c r="K135" s="35"/>
    </row>
    <row r="136">
      <c r="B136" s="116"/>
      <c r="G136" s="117"/>
      <c r="H136" s="118"/>
      <c r="J136" s="119"/>
      <c r="K136" s="35"/>
    </row>
    <row r="137">
      <c r="B137" s="116"/>
      <c r="G137" s="117"/>
      <c r="H137" s="118"/>
      <c r="J137" s="119"/>
      <c r="K137" s="35"/>
    </row>
    <row r="138">
      <c r="B138" s="116"/>
      <c r="G138" s="117"/>
      <c r="H138" s="118"/>
      <c r="J138" s="119"/>
      <c r="K138" s="35"/>
    </row>
    <row r="139">
      <c r="B139" s="116"/>
      <c r="G139" s="117"/>
      <c r="H139" s="118"/>
      <c r="J139" s="119"/>
      <c r="K139" s="35"/>
    </row>
    <row r="140">
      <c r="B140" s="116"/>
      <c r="G140" s="117"/>
      <c r="H140" s="118"/>
      <c r="J140" s="119"/>
      <c r="K140" s="35"/>
    </row>
    <row r="141">
      <c r="B141" s="116"/>
      <c r="G141" s="117"/>
      <c r="H141" s="118"/>
      <c r="J141" s="119"/>
      <c r="K141" s="35"/>
    </row>
    <row r="142">
      <c r="B142" s="116"/>
      <c r="G142" s="117"/>
      <c r="H142" s="118"/>
      <c r="J142" s="119"/>
      <c r="K142" s="35"/>
    </row>
    <row r="143">
      <c r="B143" s="116"/>
      <c r="G143" s="117"/>
      <c r="H143" s="118"/>
      <c r="J143" s="119"/>
      <c r="K143" s="35"/>
    </row>
    <row r="144">
      <c r="B144" s="116"/>
      <c r="G144" s="117"/>
      <c r="H144" s="118"/>
      <c r="J144" s="119"/>
      <c r="K144" s="35"/>
    </row>
    <row r="145">
      <c r="B145" s="116"/>
      <c r="G145" s="117"/>
      <c r="H145" s="118"/>
      <c r="J145" s="119"/>
      <c r="K145" s="35"/>
    </row>
    <row r="146">
      <c r="B146" s="116"/>
      <c r="G146" s="117"/>
      <c r="H146" s="118"/>
      <c r="J146" s="119"/>
      <c r="K146" s="35"/>
    </row>
    <row r="147">
      <c r="B147" s="116"/>
      <c r="G147" s="117"/>
      <c r="H147" s="118"/>
      <c r="J147" s="119"/>
      <c r="K147" s="35"/>
    </row>
    <row r="148">
      <c r="B148" s="116"/>
      <c r="G148" s="117"/>
      <c r="H148" s="118"/>
      <c r="J148" s="119"/>
      <c r="K148" s="35"/>
    </row>
    <row r="149">
      <c r="B149" s="116"/>
      <c r="G149" s="117"/>
      <c r="H149" s="118"/>
      <c r="J149" s="119"/>
      <c r="K149" s="35"/>
    </row>
    <row r="150">
      <c r="B150" s="116"/>
      <c r="G150" s="117"/>
      <c r="H150" s="118"/>
      <c r="J150" s="119"/>
      <c r="K150" s="35"/>
    </row>
    <row r="151">
      <c r="B151" s="116"/>
      <c r="G151" s="117"/>
      <c r="H151" s="118"/>
      <c r="J151" s="119"/>
      <c r="K151" s="35"/>
    </row>
    <row r="152">
      <c r="B152" s="116"/>
      <c r="G152" s="117"/>
      <c r="H152" s="118"/>
      <c r="J152" s="119"/>
      <c r="K152" s="35"/>
    </row>
    <row r="153">
      <c r="B153" s="116"/>
      <c r="G153" s="117"/>
      <c r="H153" s="118"/>
      <c r="J153" s="119"/>
      <c r="K153" s="35"/>
    </row>
    <row r="154">
      <c r="B154" s="116"/>
      <c r="G154" s="117"/>
      <c r="H154" s="118"/>
      <c r="J154" s="119"/>
      <c r="K154" s="35"/>
    </row>
    <row r="155">
      <c r="B155" s="116"/>
      <c r="G155" s="117"/>
      <c r="H155" s="118"/>
      <c r="J155" s="119"/>
      <c r="K155" s="35"/>
    </row>
    <row r="156">
      <c r="B156" s="116"/>
      <c r="G156" s="117"/>
      <c r="H156" s="118"/>
      <c r="J156" s="119"/>
      <c r="K156" s="35"/>
    </row>
    <row r="157">
      <c r="B157" s="116"/>
      <c r="G157" s="117"/>
      <c r="H157" s="118"/>
      <c r="J157" s="119"/>
      <c r="K157" s="35"/>
    </row>
    <row r="158">
      <c r="B158" s="116"/>
      <c r="G158" s="117"/>
      <c r="H158" s="118"/>
      <c r="J158" s="119"/>
      <c r="K158" s="35"/>
    </row>
    <row r="159">
      <c r="B159" s="116"/>
      <c r="G159" s="117"/>
      <c r="H159" s="118"/>
      <c r="J159" s="119"/>
      <c r="K159" s="35"/>
    </row>
    <row r="160">
      <c r="B160" s="116"/>
      <c r="G160" s="117"/>
      <c r="H160" s="118"/>
      <c r="J160" s="119"/>
      <c r="K160" s="35"/>
    </row>
    <row r="161">
      <c r="B161" s="116"/>
      <c r="G161" s="117"/>
      <c r="H161" s="118"/>
      <c r="J161" s="119"/>
      <c r="K161" s="35"/>
    </row>
    <row r="162">
      <c r="B162" s="116"/>
      <c r="G162" s="117"/>
      <c r="H162" s="118"/>
      <c r="J162" s="119"/>
      <c r="K162" s="35"/>
    </row>
    <row r="163">
      <c r="B163" s="116"/>
      <c r="G163" s="117"/>
      <c r="H163" s="118"/>
      <c r="J163" s="119"/>
      <c r="K163" s="35"/>
    </row>
    <row r="164">
      <c r="B164" s="116"/>
      <c r="G164" s="117"/>
      <c r="H164" s="118"/>
      <c r="J164" s="119"/>
      <c r="K164" s="35"/>
    </row>
    <row r="165">
      <c r="B165" s="116"/>
      <c r="G165" s="117"/>
      <c r="H165" s="118"/>
      <c r="J165" s="119"/>
      <c r="K165" s="35"/>
    </row>
    <row r="166">
      <c r="B166" s="116"/>
      <c r="G166" s="117"/>
      <c r="H166" s="118"/>
      <c r="J166" s="119"/>
      <c r="K166" s="35"/>
    </row>
    <row r="167">
      <c r="B167" s="116"/>
      <c r="G167" s="117"/>
      <c r="H167" s="118"/>
      <c r="J167" s="119"/>
      <c r="K167" s="35"/>
    </row>
    <row r="168">
      <c r="B168" s="116"/>
      <c r="G168" s="117"/>
      <c r="H168" s="118"/>
      <c r="J168" s="119"/>
      <c r="K168" s="35"/>
    </row>
    <row r="169">
      <c r="B169" s="116"/>
      <c r="G169" s="117"/>
      <c r="H169" s="118"/>
      <c r="J169" s="119"/>
      <c r="K169" s="35"/>
    </row>
    <row r="170">
      <c r="B170" s="116"/>
      <c r="G170" s="117"/>
      <c r="H170" s="118"/>
      <c r="J170" s="119"/>
      <c r="K170" s="35"/>
    </row>
    <row r="171">
      <c r="B171" s="116"/>
      <c r="G171" s="117"/>
      <c r="H171" s="118"/>
      <c r="J171" s="119"/>
      <c r="K171" s="35"/>
    </row>
    <row r="172">
      <c r="B172" s="116"/>
      <c r="G172" s="117"/>
      <c r="H172" s="118"/>
      <c r="J172" s="119"/>
      <c r="K172" s="35"/>
    </row>
    <row r="173">
      <c r="B173" s="116"/>
      <c r="G173" s="117"/>
      <c r="H173" s="118"/>
      <c r="J173" s="119"/>
      <c r="K173" s="35"/>
    </row>
    <row r="174">
      <c r="B174" s="116"/>
      <c r="G174" s="117"/>
      <c r="H174" s="118"/>
      <c r="J174" s="119"/>
      <c r="K174" s="35"/>
    </row>
    <row r="175">
      <c r="B175" s="116"/>
      <c r="G175" s="117"/>
      <c r="H175" s="118"/>
      <c r="J175" s="119"/>
      <c r="K175" s="35"/>
    </row>
    <row r="176">
      <c r="B176" s="116"/>
      <c r="G176" s="117"/>
      <c r="H176" s="118"/>
      <c r="J176" s="119"/>
      <c r="K176" s="35"/>
    </row>
    <row r="177">
      <c r="B177" s="116"/>
      <c r="G177" s="117"/>
      <c r="H177" s="118"/>
      <c r="J177" s="119"/>
      <c r="K177" s="35"/>
    </row>
    <row r="178">
      <c r="B178" s="116"/>
      <c r="G178" s="117"/>
      <c r="H178" s="118"/>
      <c r="J178" s="119"/>
      <c r="K178" s="35"/>
    </row>
    <row r="179">
      <c r="B179" s="116"/>
      <c r="G179" s="117"/>
      <c r="H179" s="118"/>
      <c r="J179" s="119"/>
      <c r="K179" s="35"/>
    </row>
    <row r="180">
      <c r="B180" s="116"/>
      <c r="G180" s="117"/>
      <c r="H180" s="118"/>
      <c r="J180" s="119"/>
      <c r="K180" s="35"/>
    </row>
    <row r="181">
      <c r="B181" s="116"/>
      <c r="G181" s="117"/>
      <c r="H181" s="118"/>
      <c r="J181" s="119"/>
      <c r="K181" s="35"/>
    </row>
    <row r="182">
      <c r="B182" s="116"/>
      <c r="G182" s="117"/>
      <c r="H182" s="118"/>
      <c r="J182" s="119"/>
      <c r="K182" s="35"/>
    </row>
    <row r="183">
      <c r="B183" s="116"/>
      <c r="G183" s="117"/>
      <c r="H183" s="118"/>
      <c r="J183" s="119"/>
      <c r="K183" s="35"/>
    </row>
    <row r="184">
      <c r="B184" s="116"/>
      <c r="G184" s="117"/>
      <c r="H184" s="118"/>
      <c r="J184" s="119"/>
      <c r="K184" s="35"/>
    </row>
    <row r="185">
      <c r="B185" s="116"/>
      <c r="G185" s="117"/>
      <c r="H185" s="118"/>
      <c r="J185" s="119"/>
      <c r="K185" s="35"/>
    </row>
    <row r="186">
      <c r="B186" s="116"/>
      <c r="G186" s="117"/>
      <c r="H186" s="118"/>
      <c r="J186" s="119"/>
      <c r="K186" s="35"/>
    </row>
    <row r="187">
      <c r="B187" s="116"/>
      <c r="G187" s="117"/>
      <c r="H187" s="118"/>
      <c r="J187" s="119"/>
      <c r="K187" s="35"/>
    </row>
    <row r="188">
      <c r="B188" s="116"/>
      <c r="G188" s="117"/>
      <c r="H188" s="118"/>
      <c r="J188" s="119"/>
      <c r="K188" s="35"/>
    </row>
    <row r="189">
      <c r="B189" s="116"/>
      <c r="G189" s="117"/>
      <c r="H189" s="118"/>
      <c r="J189" s="119"/>
      <c r="K189" s="35"/>
    </row>
    <row r="190">
      <c r="B190" s="116"/>
      <c r="G190" s="117"/>
      <c r="H190" s="118"/>
      <c r="J190" s="119"/>
      <c r="K190" s="35"/>
    </row>
    <row r="191">
      <c r="B191" s="116"/>
      <c r="G191" s="117"/>
      <c r="H191" s="118"/>
      <c r="J191" s="119"/>
      <c r="K191" s="35"/>
    </row>
    <row r="192">
      <c r="B192" s="116"/>
      <c r="G192" s="117"/>
      <c r="H192" s="118"/>
      <c r="J192" s="119"/>
      <c r="K192" s="35"/>
    </row>
    <row r="193">
      <c r="B193" s="116"/>
      <c r="G193" s="117"/>
      <c r="H193" s="118"/>
      <c r="J193" s="119"/>
      <c r="K193" s="35"/>
    </row>
    <row r="194">
      <c r="B194" s="116"/>
      <c r="G194" s="117"/>
      <c r="H194" s="118"/>
      <c r="J194" s="119"/>
      <c r="K194" s="35"/>
    </row>
    <row r="195">
      <c r="B195" s="116"/>
      <c r="G195" s="117"/>
      <c r="H195" s="118"/>
      <c r="J195" s="119"/>
      <c r="K195" s="35"/>
    </row>
    <row r="196">
      <c r="B196" s="116"/>
      <c r="G196" s="117"/>
      <c r="H196" s="118"/>
      <c r="J196" s="119"/>
      <c r="K196" s="35"/>
    </row>
    <row r="197">
      <c r="B197" s="116"/>
      <c r="G197" s="117"/>
      <c r="H197" s="118"/>
      <c r="J197" s="119"/>
      <c r="K197" s="35"/>
    </row>
    <row r="198">
      <c r="B198" s="116"/>
      <c r="G198" s="117"/>
      <c r="H198" s="118"/>
      <c r="J198" s="119"/>
      <c r="K198" s="35"/>
    </row>
    <row r="199">
      <c r="B199" s="116"/>
      <c r="G199" s="117"/>
      <c r="H199" s="118"/>
      <c r="J199" s="119"/>
      <c r="K199" s="35"/>
    </row>
    <row r="200">
      <c r="B200" s="116"/>
      <c r="G200" s="117"/>
      <c r="H200" s="118"/>
      <c r="J200" s="119"/>
      <c r="K200" s="35"/>
    </row>
    <row r="201">
      <c r="B201" s="116"/>
      <c r="G201" s="117"/>
      <c r="H201" s="118"/>
      <c r="J201" s="119"/>
      <c r="K201" s="35"/>
    </row>
    <row r="202">
      <c r="B202" s="116"/>
      <c r="G202" s="117"/>
      <c r="H202" s="118"/>
      <c r="J202" s="119"/>
      <c r="K202" s="35"/>
    </row>
    <row r="203">
      <c r="B203" s="116"/>
      <c r="G203" s="117"/>
      <c r="H203" s="118"/>
      <c r="J203" s="119"/>
      <c r="K203" s="35"/>
    </row>
    <row r="204">
      <c r="B204" s="116"/>
      <c r="G204" s="117"/>
      <c r="H204" s="118"/>
      <c r="J204" s="119"/>
      <c r="K204" s="35"/>
    </row>
    <row r="205">
      <c r="B205" s="116"/>
      <c r="G205" s="117"/>
      <c r="H205" s="118"/>
      <c r="J205" s="119"/>
      <c r="K205" s="35"/>
    </row>
    <row r="206">
      <c r="B206" s="116"/>
      <c r="G206" s="117"/>
      <c r="H206" s="118"/>
      <c r="J206" s="119"/>
      <c r="K206" s="35"/>
    </row>
    <row r="207">
      <c r="B207" s="116"/>
      <c r="G207" s="117"/>
      <c r="H207" s="118"/>
      <c r="J207" s="119"/>
      <c r="K207" s="35"/>
    </row>
    <row r="208">
      <c r="B208" s="116"/>
      <c r="G208" s="117"/>
      <c r="H208" s="118"/>
      <c r="J208" s="119"/>
      <c r="K208" s="35"/>
    </row>
    <row r="209">
      <c r="B209" s="116"/>
      <c r="G209" s="117"/>
      <c r="H209" s="118"/>
      <c r="J209" s="119"/>
      <c r="K209" s="35"/>
    </row>
    <row r="210">
      <c r="B210" s="116"/>
      <c r="G210" s="117"/>
      <c r="H210" s="118"/>
      <c r="J210" s="119"/>
      <c r="K210" s="35"/>
    </row>
    <row r="211">
      <c r="B211" s="116"/>
      <c r="G211" s="117"/>
      <c r="H211" s="118"/>
      <c r="J211" s="119"/>
      <c r="K211" s="35"/>
    </row>
    <row r="212">
      <c r="B212" s="116"/>
      <c r="G212" s="117"/>
      <c r="H212" s="118"/>
      <c r="J212" s="119"/>
      <c r="K212" s="35"/>
    </row>
    <row r="213">
      <c r="B213" s="116"/>
      <c r="G213" s="117"/>
      <c r="H213" s="118"/>
      <c r="J213" s="119"/>
      <c r="K213" s="35"/>
    </row>
    <row r="214">
      <c r="B214" s="116"/>
      <c r="G214" s="117"/>
      <c r="H214" s="118"/>
      <c r="J214" s="119"/>
      <c r="K214" s="35"/>
    </row>
    <row r="215">
      <c r="B215" s="116"/>
      <c r="G215" s="117"/>
      <c r="H215" s="118"/>
      <c r="J215" s="119"/>
      <c r="K215" s="35"/>
    </row>
    <row r="216">
      <c r="B216" s="116"/>
      <c r="G216" s="117"/>
      <c r="H216" s="118"/>
      <c r="J216" s="119"/>
      <c r="K216" s="35"/>
    </row>
    <row r="217">
      <c r="B217" s="116"/>
      <c r="G217" s="117"/>
      <c r="H217" s="118"/>
      <c r="J217" s="119"/>
      <c r="K217" s="35"/>
    </row>
    <row r="218">
      <c r="B218" s="116"/>
      <c r="G218" s="117"/>
      <c r="H218" s="118"/>
      <c r="J218" s="119"/>
      <c r="K218" s="35"/>
    </row>
    <row r="219">
      <c r="B219" s="116"/>
      <c r="G219" s="117"/>
      <c r="H219" s="118"/>
      <c r="J219" s="119"/>
      <c r="K219" s="35"/>
    </row>
    <row r="220">
      <c r="B220" s="116"/>
      <c r="G220" s="117"/>
      <c r="H220" s="118"/>
      <c r="J220" s="119"/>
      <c r="K220" s="35"/>
    </row>
    <row r="221">
      <c r="B221" s="116"/>
      <c r="G221" s="117"/>
      <c r="H221" s="118"/>
      <c r="J221" s="119"/>
      <c r="K221" s="35"/>
    </row>
    <row r="222">
      <c r="B222" s="116"/>
      <c r="G222" s="117"/>
      <c r="H222" s="118"/>
      <c r="J222" s="119"/>
      <c r="K222" s="35"/>
    </row>
    <row r="223">
      <c r="B223" s="116"/>
      <c r="G223" s="117"/>
      <c r="H223" s="118"/>
      <c r="J223" s="119"/>
      <c r="K223" s="35"/>
    </row>
    <row r="224">
      <c r="B224" s="116"/>
      <c r="G224" s="117"/>
      <c r="H224" s="118"/>
      <c r="J224" s="119"/>
      <c r="K224" s="35"/>
    </row>
    <row r="225">
      <c r="B225" s="116"/>
      <c r="G225" s="117"/>
      <c r="H225" s="118"/>
      <c r="J225" s="119"/>
      <c r="K225" s="35"/>
    </row>
    <row r="226">
      <c r="B226" s="116"/>
      <c r="G226" s="117"/>
      <c r="H226" s="118"/>
      <c r="J226" s="119"/>
      <c r="K226" s="35"/>
    </row>
    <row r="227">
      <c r="B227" s="116"/>
      <c r="G227" s="117"/>
      <c r="H227" s="118"/>
      <c r="J227" s="119"/>
      <c r="K227" s="35"/>
    </row>
    <row r="228">
      <c r="B228" s="116"/>
      <c r="G228" s="117"/>
      <c r="H228" s="118"/>
      <c r="J228" s="119"/>
      <c r="K228" s="35"/>
    </row>
    <row r="229">
      <c r="B229" s="116"/>
      <c r="G229" s="117"/>
      <c r="H229" s="118"/>
      <c r="J229" s="119"/>
      <c r="K229" s="35"/>
    </row>
    <row r="230">
      <c r="B230" s="116"/>
      <c r="G230" s="117"/>
      <c r="H230" s="118"/>
      <c r="J230" s="119"/>
      <c r="K230" s="35"/>
    </row>
    <row r="231">
      <c r="B231" s="116"/>
      <c r="G231" s="117"/>
      <c r="H231" s="118"/>
      <c r="J231" s="119"/>
      <c r="K231" s="35"/>
    </row>
    <row r="232">
      <c r="B232" s="116"/>
      <c r="G232" s="117"/>
      <c r="H232" s="118"/>
      <c r="J232" s="119"/>
      <c r="K232" s="35"/>
    </row>
    <row r="233">
      <c r="B233" s="116"/>
      <c r="G233" s="117"/>
      <c r="H233" s="118"/>
      <c r="J233" s="119"/>
      <c r="K233" s="35"/>
    </row>
    <row r="234">
      <c r="B234" s="116"/>
      <c r="G234" s="117"/>
      <c r="H234" s="118"/>
      <c r="J234" s="119"/>
      <c r="K234" s="35"/>
    </row>
    <row r="235">
      <c r="B235" s="116"/>
      <c r="G235" s="117"/>
      <c r="H235" s="118"/>
      <c r="J235" s="119"/>
      <c r="K235" s="35"/>
    </row>
    <row r="236">
      <c r="B236" s="116"/>
      <c r="G236" s="117"/>
      <c r="H236" s="118"/>
      <c r="J236" s="119"/>
      <c r="K236" s="35"/>
    </row>
    <row r="237">
      <c r="B237" s="116"/>
      <c r="G237" s="117"/>
      <c r="H237" s="118"/>
      <c r="J237" s="119"/>
      <c r="K237" s="35"/>
    </row>
    <row r="238">
      <c r="B238" s="116"/>
      <c r="G238" s="117"/>
      <c r="H238" s="118"/>
      <c r="J238" s="119"/>
      <c r="K238" s="35"/>
    </row>
    <row r="239">
      <c r="B239" s="116"/>
      <c r="G239" s="117"/>
      <c r="H239" s="118"/>
      <c r="J239" s="119"/>
      <c r="K239" s="35"/>
    </row>
    <row r="240">
      <c r="B240" s="116"/>
      <c r="G240" s="117"/>
      <c r="H240" s="118"/>
      <c r="J240" s="119"/>
      <c r="K240" s="35"/>
    </row>
    <row r="241">
      <c r="B241" s="116"/>
      <c r="G241" s="117"/>
      <c r="H241" s="118"/>
      <c r="J241" s="119"/>
      <c r="K241" s="35"/>
    </row>
    <row r="242">
      <c r="B242" s="116"/>
      <c r="G242" s="117"/>
      <c r="H242" s="118"/>
      <c r="J242" s="119"/>
      <c r="K242" s="35"/>
    </row>
    <row r="243">
      <c r="B243" s="116"/>
      <c r="G243" s="117"/>
      <c r="H243" s="118"/>
      <c r="J243" s="119"/>
      <c r="K243" s="35"/>
    </row>
    <row r="244">
      <c r="B244" s="116"/>
      <c r="G244" s="117"/>
      <c r="H244" s="118"/>
      <c r="J244" s="119"/>
      <c r="K244" s="35"/>
    </row>
    <row r="245">
      <c r="B245" s="116"/>
      <c r="G245" s="117"/>
      <c r="H245" s="118"/>
      <c r="J245" s="119"/>
      <c r="K245" s="35"/>
    </row>
    <row r="246">
      <c r="B246" s="116"/>
      <c r="G246" s="117"/>
      <c r="H246" s="118"/>
      <c r="J246" s="119"/>
      <c r="K246" s="35"/>
    </row>
    <row r="247">
      <c r="B247" s="116"/>
      <c r="G247" s="117"/>
      <c r="H247" s="118"/>
      <c r="J247" s="119"/>
      <c r="K247" s="35"/>
    </row>
    <row r="248">
      <c r="B248" s="116"/>
      <c r="G248" s="117"/>
      <c r="H248" s="118"/>
      <c r="J248" s="119"/>
      <c r="K248" s="35"/>
    </row>
    <row r="249">
      <c r="B249" s="116"/>
      <c r="G249" s="117"/>
      <c r="H249" s="118"/>
      <c r="J249" s="119"/>
      <c r="K249" s="35"/>
    </row>
    <row r="250">
      <c r="B250" s="116"/>
      <c r="G250" s="117"/>
      <c r="H250" s="118"/>
      <c r="J250" s="119"/>
      <c r="K250" s="35"/>
    </row>
    <row r="251">
      <c r="B251" s="116"/>
      <c r="G251" s="117"/>
      <c r="H251" s="118"/>
      <c r="J251" s="119"/>
      <c r="K251" s="35"/>
    </row>
    <row r="252">
      <c r="B252" s="116"/>
      <c r="G252" s="117"/>
      <c r="H252" s="118"/>
      <c r="J252" s="119"/>
      <c r="K252" s="35"/>
    </row>
    <row r="253">
      <c r="B253" s="116"/>
      <c r="G253" s="117"/>
      <c r="H253" s="118"/>
      <c r="J253" s="119"/>
      <c r="K253" s="35"/>
    </row>
    <row r="254">
      <c r="B254" s="116"/>
      <c r="G254" s="117"/>
      <c r="H254" s="118"/>
      <c r="J254" s="119"/>
      <c r="K254" s="35"/>
    </row>
    <row r="255">
      <c r="B255" s="116"/>
      <c r="G255" s="117"/>
      <c r="H255" s="118"/>
      <c r="J255" s="119"/>
      <c r="K255" s="35"/>
    </row>
    <row r="256">
      <c r="B256" s="116"/>
      <c r="G256" s="117"/>
      <c r="H256" s="118"/>
      <c r="J256" s="119"/>
      <c r="K256" s="35"/>
    </row>
    <row r="257">
      <c r="B257" s="116"/>
      <c r="G257" s="117"/>
      <c r="H257" s="118"/>
      <c r="J257" s="119"/>
      <c r="K257" s="35"/>
    </row>
    <row r="258">
      <c r="B258" s="116"/>
      <c r="G258" s="117"/>
      <c r="H258" s="118"/>
      <c r="J258" s="119"/>
      <c r="K258" s="35"/>
    </row>
    <row r="259">
      <c r="B259" s="116"/>
      <c r="G259" s="117"/>
      <c r="H259" s="118"/>
      <c r="J259" s="119"/>
      <c r="K259" s="35"/>
    </row>
    <row r="260">
      <c r="B260" s="116"/>
      <c r="G260" s="117"/>
      <c r="H260" s="118"/>
      <c r="J260" s="119"/>
      <c r="K260" s="35"/>
    </row>
    <row r="261">
      <c r="B261" s="116"/>
      <c r="G261" s="117"/>
      <c r="H261" s="118"/>
      <c r="J261" s="119"/>
      <c r="K261" s="35"/>
    </row>
    <row r="262">
      <c r="B262" s="116"/>
      <c r="G262" s="117"/>
      <c r="H262" s="118"/>
      <c r="J262" s="119"/>
      <c r="K262" s="35"/>
    </row>
    <row r="263">
      <c r="B263" s="116"/>
      <c r="G263" s="117"/>
      <c r="H263" s="118"/>
      <c r="J263" s="119"/>
      <c r="K263" s="35"/>
    </row>
    <row r="264">
      <c r="B264" s="116"/>
      <c r="G264" s="117"/>
      <c r="H264" s="118"/>
      <c r="J264" s="119"/>
      <c r="K264" s="35"/>
    </row>
    <row r="265">
      <c r="B265" s="116"/>
      <c r="G265" s="117"/>
      <c r="H265" s="118"/>
      <c r="J265" s="119"/>
      <c r="K265" s="35"/>
    </row>
    <row r="266">
      <c r="B266" s="116"/>
      <c r="G266" s="117"/>
      <c r="H266" s="118"/>
      <c r="J266" s="119"/>
      <c r="K266" s="35"/>
    </row>
    <row r="267">
      <c r="B267" s="116"/>
      <c r="G267" s="117"/>
      <c r="H267" s="118"/>
      <c r="J267" s="119"/>
      <c r="K267" s="35"/>
    </row>
    <row r="268">
      <c r="B268" s="116"/>
      <c r="G268" s="117"/>
      <c r="H268" s="118"/>
      <c r="J268" s="119"/>
      <c r="K268" s="35"/>
    </row>
    <row r="269">
      <c r="B269" s="116"/>
      <c r="G269" s="117"/>
      <c r="H269" s="118"/>
      <c r="J269" s="119"/>
      <c r="K269" s="35"/>
    </row>
    <row r="270">
      <c r="B270" s="116"/>
      <c r="G270" s="117"/>
      <c r="H270" s="118"/>
      <c r="J270" s="119"/>
      <c r="K270" s="35"/>
    </row>
    <row r="271">
      <c r="B271" s="116"/>
      <c r="G271" s="117"/>
      <c r="H271" s="118"/>
      <c r="J271" s="119"/>
      <c r="K271" s="35"/>
    </row>
    <row r="272">
      <c r="B272" s="116"/>
      <c r="G272" s="117"/>
      <c r="H272" s="118"/>
      <c r="J272" s="119"/>
      <c r="K272" s="35"/>
    </row>
    <row r="273">
      <c r="B273" s="116"/>
      <c r="G273" s="117"/>
      <c r="H273" s="118"/>
      <c r="J273" s="119"/>
      <c r="K273" s="35"/>
    </row>
    <row r="274">
      <c r="B274" s="116"/>
      <c r="G274" s="117"/>
      <c r="H274" s="118"/>
      <c r="J274" s="119"/>
      <c r="K274" s="35"/>
    </row>
    <row r="275">
      <c r="B275" s="116"/>
      <c r="G275" s="117"/>
      <c r="H275" s="118"/>
      <c r="J275" s="119"/>
      <c r="K275" s="35"/>
    </row>
    <row r="276">
      <c r="B276" s="116"/>
      <c r="G276" s="117"/>
      <c r="H276" s="118"/>
      <c r="J276" s="119"/>
      <c r="K276" s="35"/>
    </row>
    <row r="277">
      <c r="B277" s="116"/>
      <c r="G277" s="117"/>
      <c r="H277" s="118"/>
      <c r="J277" s="119"/>
      <c r="K277" s="35"/>
    </row>
    <row r="278">
      <c r="B278" s="116"/>
      <c r="G278" s="117"/>
      <c r="H278" s="118"/>
      <c r="J278" s="119"/>
      <c r="K278" s="35"/>
    </row>
    <row r="279">
      <c r="B279" s="116"/>
      <c r="G279" s="117"/>
      <c r="H279" s="118"/>
      <c r="J279" s="119"/>
      <c r="K279" s="35"/>
    </row>
    <row r="280">
      <c r="B280" s="116"/>
      <c r="G280" s="117"/>
      <c r="H280" s="118"/>
      <c r="J280" s="119"/>
      <c r="K280" s="35"/>
    </row>
    <row r="281">
      <c r="B281" s="116"/>
      <c r="G281" s="117"/>
      <c r="H281" s="118"/>
      <c r="J281" s="119"/>
      <c r="K281" s="35"/>
    </row>
    <row r="282">
      <c r="B282" s="116"/>
      <c r="G282" s="117"/>
      <c r="H282" s="118"/>
      <c r="J282" s="119"/>
      <c r="K282" s="35"/>
    </row>
    <row r="283">
      <c r="B283" s="116"/>
      <c r="G283" s="117"/>
      <c r="H283" s="118"/>
      <c r="J283" s="119"/>
      <c r="K283" s="35"/>
    </row>
    <row r="284">
      <c r="B284" s="116"/>
      <c r="G284" s="117"/>
      <c r="H284" s="118"/>
      <c r="J284" s="119"/>
      <c r="K284" s="35"/>
    </row>
    <row r="285">
      <c r="B285" s="116"/>
      <c r="G285" s="117"/>
      <c r="H285" s="118"/>
      <c r="J285" s="119"/>
      <c r="K285" s="35"/>
    </row>
    <row r="286">
      <c r="B286" s="116"/>
      <c r="G286" s="117"/>
      <c r="H286" s="118"/>
      <c r="J286" s="119"/>
      <c r="K286" s="35"/>
    </row>
    <row r="287">
      <c r="B287" s="116"/>
      <c r="G287" s="117"/>
      <c r="H287" s="118"/>
      <c r="J287" s="119"/>
      <c r="K287" s="35"/>
    </row>
    <row r="288">
      <c r="B288" s="116"/>
      <c r="G288" s="117"/>
      <c r="H288" s="118"/>
      <c r="J288" s="119"/>
      <c r="K288" s="35"/>
    </row>
    <row r="289">
      <c r="B289" s="116"/>
      <c r="G289" s="117"/>
      <c r="H289" s="118"/>
      <c r="J289" s="119"/>
      <c r="K289" s="35"/>
    </row>
    <row r="290">
      <c r="B290" s="116"/>
      <c r="G290" s="117"/>
      <c r="H290" s="118"/>
      <c r="J290" s="119"/>
      <c r="K290" s="35"/>
    </row>
    <row r="291">
      <c r="B291" s="116"/>
      <c r="G291" s="117"/>
      <c r="H291" s="118"/>
      <c r="J291" s="119"/>
      <c r="K291" s="35"/>
    </row>
    <row r="292">
      <c r="B292" s="116"/>
      <c r="G292" s="117"/>
      <c r="H292" s="118"/>
      <c r="J292" s="119"/>
      <c r="K292" s="35"/>
    </row>
    <row r="293">
      <c r="B293" s="116"/>
      <c r="G293" s="117"/>
      <c r="H293" s="118"/>
      <c r="J293" s="119"/>
      <c r="K293" s="35"/>
    </row>
    <row r="294">
      <c r="B294" s="116"/>
      <c r="G294" s="117"/>
      <c r="H294" s="118"/>
      <c r="J294" s="119"/>
      <c r="K294" s="35"/>
    </row>
    <row r="295">
      <c r="B295" s="116"/>
      <c r="G295" s="117"/>
      <c r="H295" s="118"/>
      <c r="J295" s="119"/>
      <c r="K295" s="35"/>
    </row>
    <row r="296">
      <c r="B296" s="116"/>
      <c r="G296" s="117"/>
      <c r="H296" s="118"/>
      <c r="J296" s="119"/>
      <c r="K296" s="35"/>
    </row>
    <row r="297">
      <c r="B297" s="116"/>
      <c r="G297" s="117"/>
      <c r="H297" s="118"/>
      <c r="J297" s="119"/>
      <c r="K297" s="35"/>
    </row>
    <row r="298">
      <c r="B298" s="116"/>
      <c r="G298" s="117"/>
      <c r="H298" s="118"/>
      <c r="J298" s="119"/>
      <c r="K298" s="35"/>
    </row>
    <row r="299">
      <c r="B299" s="116"/>
      <c r="G299" s="117"/>
      <c r="H299" s="118"/>
      <c r="J299" s="119"/>
      <c r="K299" s="35"/>
    </row>
    <row r="300">
      <c r="B300" s="116"/>
      <c r="G300" s="117"/>
      <c r="H300" s="118"/>
      <c r="J300" s="119"/>
      <c r="K300" s="35"/>
    </row>
    <row r="301">
      <c r="B301" s="116"/>
      <c r="G301" s="117"/>
      <c r="H301" s="118"/>
      <c r="J301" s="119"/>
      <c r="K301" s="35"/>
    </row>
    <row r="302">
      <c r="B302" s="116"/>
      <c r="G302" s="117"/>
      <c r="H302" s="118"/>
      <c r="J302" s="119"/>
      <c r="K302" s="35"/>
    </row>
    <row r="303">
      <c r="B303" s="116"/>
      <c r="G303" s="117"/>
      <c r="H303" s="118"/>
      <c r="J303" s="119"/>
      <c r="K303" s="35"/>
    </row>
    <row r="304">
      <c r="B304" s="116"/>
      <c r="G304" s="117"/>
      <c r="H304" s="118"/>
      <c r="J304" s="119"/>
      <c r="K304" s="35"/>
    </row>
    <row r="305">
      <c r="B305" s="116"/>
      <c r="G305" s="117"/>
      <c r="H305" s="118"/>
      <c r="J305" s="119"/>
      <c r="K305" s="35"/>
    </row>
    <row r="306">
      <c r="B306" s="116"/>
      <c r="G306" s="117"/>
      <c r="H306" s="118"/>
      <c r="J306" s="119"/>
      <c r="K306" s="35"/>
    </row>
    <row r="307">
      <c r="B307" s="116"/>
      <c r="G307" s="117"/>
      <c r="H307" s="118"/>
      <c r="J307" s="119"/>
      <c r="K307" s="35"/>
    </row>
    <row r="308">
      <c r="B308" s="116"/>
      <c r="G308" s="117"/>
      <c r="H308" s="118"/>
      <c r="J308" s="119"/>
      <c r="K308" s="35"/>
    </row>
    <row r="309">
      <c r="B309" s="116"/>
      <c r="G309" s="117"/>
      <c r="H309" s="118"/>
      <c r="J309" s="119"/>
      <c r="K309" s="35"/>
    </row>
    <row r="310">
      <c r="B310" s="116"/>
      <c r="G310" s="117"/>
      <c r="H310" s="118"/>
      <c r="J310" s="119"/>
      <c r="K310" s="35"/>
    </row>
    <row r="311">
      <c r="B311" s="116"/>
      <c r="G311" s="117"/>
      <c r="H311" s="118"/>
      <c r="J311" s="119"/>
      <c r="K311" s="35"/>
    </row>
    <row r="312">
      <c r="B312" s="116"/>
      <c r="G312" s="117"/>
      <c r="H312" s="118"/>
      <c r="J312" s="119"/>
      <c r="K312" s="35"/>
    </row>
    <row r="313">
      <c r="B313" s="116"/>
      <c r="G313" s="117"/>
      <c r="H313" s="118"/>
      <c r="J313" s="119"/>
      <c r="K313" s="35"/>
    </row>
    <row r="314">
      <c r="B314" s="116"/>
      <c r="G314" s="117"/>
      <c r="H314" s="118"/>
      <c r="J314" s="119"/>
      <c r="K314" s="35"/>
    </row>
    <row r="315">
      <c r="B315" s="116"/>
      <c r="G315" s="117"/>
      <c r="H315" s="118"/>
      <c r="J315" s="119"/>
      <c r="K315" s="35"/>
    </row>
    <row r="316">
      <c r="B316" s="116"/>
      <c r="G316" s="117"/>
      <c r="H316" s="118"/>
      <c r="J316" s="119"/>
      <c r="K316" s="35"/>
    </row>
    <row r="317">
      <c r="B317" s="116"/>
      <c r="G317" s="117"/>
      <c r="H317" s="118"/>
      <c r="J317" s="119"/>
      <c r="K317" s="35"/>
    </row>
    <row r="318">
      <c r="B318" s="116"/>
      <c r="G318" s="117"/>
      <c r="H318" s="118"/>
      <c r="J318" s="119"/>
      <c r="K318" s="35"/>
    </row>
    <row r="319">
      <c r="B319" s="116"/>
      <c r="G319" s="117"/>
      <c r="H319" s="118"/>
      <c r="J319" s="119"/>
      <c r="K319" s="35"/>
    </row>
    <row r="320">
      <c r="B320" s="116"/>
      <c r="G320" s="117"/>
      <c r="H320" s="118"/>
      <c r="J320" s="119"/>
      <c r="K320" s="35"/>
    </row>
    <row r="321">
      <c r="B321" s="116"/>
      <c r="G321" s="117"/>
      <c r="H321" s="118"/>
      <c r="J321" s="119"/>
      <c r="K321" s="35"/>
    </row>
    <row r="322">
      <c r="B322" s="116"/>
      <c r="G322" s="117"/>
      <c r="H322" s="118"/>
      <c r="J322" s="119"/>
      <c r="K322" s="35"/>
    </row>
    <row r="323">
      <c r="B323" s="116"/>
      <c r="G323" s="117"/>
      <c r="H323" s="118"/>
      <c r="J323" s="119"/>
      <c r="K323" s="35"/>
    </row>
    <row r="324">
      <c r="B324" s="116"/>
      <c r="G324" s="117"/>
      <c r="H324" s="118"/>
      <c r="J324" s="119"/>
      <c r="K324" s="35"/>
    </row>
    <row r="325">
      <c r="B325" s="116"/>
      <c r="G325" s="117"/>
      <c r="H325" s="118"/>
      <c r="J325" s="119"/>
      <c r="K325" s="35"/>
    </row>
    <row r="326">
      <c r="B326" s="116"/>
      <c r="G326" s="117"/>
      <c r="H326" s="118"/>
      <c r="J326" s="119"/>
      <c r="K326" s="35"/>
    </row>
    <row r="327">
      <c r="B327" s="116"/>
      <c r="G327" s="117"/>
      <c r="H327" s="118"/>
      <c r="J327" s="119"/>
      <c r="K327" s="35"/>
    </row>
    <row r="328">
      <c r="B328" s="116"/>
      <c r="G328" s="117"/>
      <c r="H328" s="118"/>
      <c r="J328" s="119"/>
      <c r="K328" s="35"/>
    </row>
    <row r="329">
      <c r="B329" s="116"/>
      <c r="G329" s="117"/>
      <c r="H329" s="118"/>
      <c r="J329" s="119"/>
      <c r="K329" s="35"/>
    </row>
    <row r="330">
      <c r="B330" s="116"/>
      <c r="G330" s="117"/>
      <c r="H330" s="118"/>
      <c r="J330" s="119"/>
      <c r="K330" s="35"/>
    </row>
    <row r="331">
      <c r="B331" s="116"/>
      <c r="G331" s="117"/>
      <c r="H331" s="118"/>
      <c r="J331" s="119"/>
      <c r="K331" s="35"/>
    </row>
    <row r="332">
      <c r="B332" s="116"/>
      <c r="G332" s="117"/>
      <c r="H332" s="118"/>
      <c r="J332" s="119"/>
      <c r="K332" s="35"/>
    </row>
    <row r="333">
      <c r="B333" s="116"/>
      <c r="G333" s="117"/>
      <c r="H333" s="118"/>
      <c r="J333" s="119"/>
      <c r="K333" s="35"/>
    </row>
    <row r="334">
      <c r="B334" s="116"/>
      <c r="G334" s="117"/>
      <c r="H334" s="118"/>
      <c r="J334" s="119"/>
      <c r="K334" s="35"/>
    </row>
    <row r="335">
      <c r="B335" s="116"/>
      <c r="G335" s="117"/>
      <c r="H335" s="118"/>
      <c r="J335" s="119"/>
      <c r="K335" s="35"/>
    </row>
    <row r="336">
      <c r="B336" s="116"/>
      <c r="G336" s="117"/>
      <c r="H336" s="118"/>
      <c r="J336" s="119"/>
      <c r="K336" s="35"/>
    </row>
    <row r="337">
      <c r="B337" s="116"/>
      <c r="G337" s="117"/>
      <c r="H337" s="118"/>
      <c r="J337" s="119"/>
      <c r="K337" s="35"/>
    </row>
    <row r="338">
      <c r="B338" s="116"/>
      <c r="G338" s="117"/>
      <c r="H338" s="118"/>
      <c r="J338" s="119"/>
      <c r="K338" s="35"/>
    </row>
    <row r="339">
      <c r="B339" s="116"/>
      <c r="G339" s="117"/>
      <c r="H339" s="118"/>
      <c r="J339" s="119"/>
      <c r="K339" s="35"/>
    </row>
    <row r="340">
      <c r="B340" s="116"/>
      <c r="G340" s="117"/>
      <c r="H340" s="118"/>
      <c r="J340" s="119"/>
      <c r="K340" s="35"/>
    </row>
    <row r="341">
      <c r="B341" s="116"/>
      <c r="G341" s="117"/>
      <c r="H341" s="118"/>
      <c r="J341" s="119"/>
      <c r="K341" s="35"/>
    </row>
    <row r="342">
      <c r="B342" s="116"/>
      <c r="G342" s="117"/>
      <c r="H342" s="118"/>
      <c r="J342" s="119"/>
      <c r="K342" s="35"/>
    </row>
    <row r="343">
      <c r="B343" s="116"/>
      <c r="G343" s="117"/>
      <c r="H343" s="118"/>
      <c r="J343" s="119"/>
      <c r="K343" s="35"/>
    </row>
    <row r="344">
      <c r="B344" s="116"/>
      <c r="G344" s="117"/>
      <c r="H344" s="118"/>
      <c r="J344" s="119"/>
      <c r="K344" s="35"/>
    </row>
    <row r="345">
      <c r="B345" s="116"/>
      <c r="G345" s="117"/>
      <c r="H345" s="118"/>
      <c r="J345" s="119"/>
      <c r="K345" s="35"/>
    </row>
    <row r="346">
      <c r="B346" s="116"/>
      <c r="G346" s="117"/>
      <c r="H346" s="118"/>
      <c r="J346" s="119"/>
      <c r="K346" s="35"/>
    </row>
    <row r="347">
      <c r="B347" s="116"/>
      <c r="G347" s="117"/>
      <c r="H347" s="118"/>
      <c r="J347" s="119"/>
      <c r="K347" s="35"/>
    </row>
    <row r="348">
      <c r="B348" s="116"/>
      <c r="G348" s="117"/>
      <c r="H348" s="118"/>
      <c r="J348" s="119"/>
      <c r="K348" s="35"/>
    </row>
    <row r="349">
      <c r="B349" s="116"/>
      <c r="G349" s="117"/>
      <c r="H349" s="118"/>
      <c r="J349" s="119"/>
      <c r="K349" s="35"/>
    </row>
    <row r="350">
      <c r="B350" s="116"/>
      <c r="G350" s="117"/>
      <c r="H350" s="118"/>
      <c r="J350" s="119"/>
      <c r="K350" s="35"/>
    </row>
    <row r="351">
      <c r="B351" s="116"/>
      <c r="G351" s="117"/>
      <c r="H351" s="118"/>
      <c r="J351" s="119"/>
      <c r="K351" s="35"/>
    </row>
    <row r="352">
      <c r="B352" s="116"/>
      <c r="G352" s="117"/>
      <c r="H352" s="118"/>
      <c r="J352" s="119"/>
      <c r="K352" s="35"/>
    </row>
    <row r="353">
      <c r="B353" s="116"/>
      <c r="G353" s="117"/>
      <c r="H353" s="118"/>
      <c r="J353" s="119"/>
      <c r="K353" s="35"/>
    </row>
    <row r="354">
      <c r="B354" s="116"/>
      <c r="G354" s="117"/>
      <c r="H354" s="118"/>
      <c r="J354" s="119"/>
      <c r="K354" s="35"/>
    </row>
    <row r="355">
      <c r="B355" s="116"/>
      <c r="G355" s="117"/>
      <c r="H355" s="118"/>
      <c r="J355" s="119"/>
      <c r="K355" s="35"/>
    </row>
    <row r="356">
      <c r="B356" s="116"/>
      <c r="G356" s="117"/>
      <c r="H356" s="118"/>
      <c r="J356" s="119"/>
      <c r="K356" s="35"/>
    </row>
    <row r="357">
      <c r="B357" s="116"/>
      <c r="G357" s="117"/>
      <c r="H357" s="118"/>
      <c r="J357" s="119"/>
      <c r="K357" s="35"/>
    </row>
    <row r="358">
      <c r="B358" s="116"/>
      <c r="G358" s="117"/>
      <c r="H358" s="118"/>
      <c r="J358" s="119"/>
      <c r="K358" s="35"/>
    </row>
    <row r="359">
      <c r="B359" s="116"/>
      <c r="G359" s="117"/>
      <c r="H359" s="118"/>
      <c r="J359" s="119"/>
      <c r="K359" s="35"/>
    </row>
    <row r="360">
      <c r="B360" s="116"/>
      <c r="G360" s="117"/>
      <c r="H360" s="118"/>
      <c r="J360" s="119"/>
      <c r="K360" s="35"/>
    </row>
    <row r="361">
      <c r="B361" s="116"/>
      <c r="G361" s="117"/>
      <c r="H361" s="118"/>
      <c r="J361" s="119"/>
      <c r="K361" s="35"/>
    </row>
    <row r="362">
      <c r="B362" s="116"/>
      <c r="G362" s="117"/>
      <c r="H362" s="118"/>
      <c r="J362" s="119"/>
      <c r="K362" s="35"/>
    </row>
    <row r="363">
      <c r="B363" s="116"/>
      <c r="G363" s="117"/>
      <c r="H363" s="118"/>
      <c r="J363" s="119"/>
      <c r="K363" s="35"/>
    </row>
    <row r="364">
      <c r="B364" s="116"/>
      <c r="G364" s="117"/>
      <c r="H364" s="118"/>
      <c r="J364" s="119"/>
      <c r="K364" s="35"/>
    </row>
    <row r="365">
      <c r="B365" s="116"/>
      <c r="G365" s="117"/>
      <c r="H365" s="118"/>
      <c r="J365" s="119"/>
      <c r="K365" s="35"/>
    </row>
    <row r="366">
      <c r="B366" s="116"/>
      <c r="G366" s="117"/>
      <c r="H366" s="118"/>
      <c r="J366" s="119"/>
      <c r="K366" s="35"/>
    </row>
    <row r="367">
      <c r="B367" s="116"/>
      <c r="G367" s="117"/>
      <c r="H367" s="118"/>
      <c r="J367" s="119"/>
      <c r="K367" s="35"/>
    </row>
    <row r="368">
      <c r="B368" s="116"/>
      <c r="G368" s="117"/>
      <c r="H368" s="118"/>
      <c r="J368" s="119"/>
      <c r="K368" s="35"/>
    </row>
    <row r="369">
      <c r="B369" s="116"/>
      <c r="G369" s="117"/>
      <c r="H369" s="118"/>
      <c r="J369" s="119"/>
      <c r="K369" s="35"/>
    </row>
    <row r="370">
      <c r="B370" s="116"/>
      <c r="G370" s="117"/>
      <c r="H370" s="118"/>
      <c r="J370" s="119"/>
      <c r="K370" s="35"/>
    </row>
    <row r="371">
      <c r="B371" s="116"/>
      <c r="G371" s="117"/>
      <c r="H371" s="118"/>
      <c r="J371" s="119"/>
      <c r="K371" s="35"/>
    </row>
    <row r="372">
      <c r="B372" s="116"/>
      <c r="G372" s="117"/>
      <c r="H372" s="118"/>
      <c r="J372" s="119"/>
      <c r="K372" s="35"/>
    </row>
    <row r="373">
      <c r="B373" s="116"/>
      <c r="G373" s="117"/>
      <c r="H373" s="118"/>
      <c r="J373" s="119"/>
      <c r="K373" s="35"/>
    </row>
    <row r="374">
      <c r="B374" s="116"/>
      <c r="G374" s="117"/>
      <c r="H374" s="118"/>
      <c r="J374" s="119"/>
      <c r="K374" s="35"/>
    </row>
    <row r="375">
      <c r="B375" s="116"/>
      <c r="G375" s="117"/>
      <c r="H375" s="118"/>
      <c r="J375" s="119"/>
      <c r="K375" s="35"/>
    </row>
    <row r="376">
      <c r="B376" s="116"/>
      <c r="G376" s="117"/>
      <c r="H376" s="118"/>
      <c r="J376" s="119"/>
      <c r="K376" s="35"/>
    </row>
    <row r="377">
      <c r="B377" s="116"/>
      <c r="G377" s="117"/>
      <c r="H377" s="118"/>
      <c r="J377" s="119"/>
      <c r="K377" s="35"/>
    </row>
    <row r="378">
      <c r="B378" s="116"/>
      <c r="G378" s="117"/>
      <c r="H378" s="118"/>
      <c r="J378" s="119"/>
      <c r="K378" s="35"/>
    </row>
    <row r="379">
      <c r="B379" s="116"/>
      <c r="G379" s="117"/>
      <c r="H379" s="118"/>
      <c r="J379" s="119"/>
      <c r="K379" s="35"/>
    </row>
    <row r="380">
      <c r="B380" s="116"/>
      <c r="G380" s="117"/>
      <c r="H380" s="118"/>
      <c r="J380" s="119"/>
      <c r="K380" s="35"/>
    </row>
    <row r="381">
      <c r="B381" s="116"/>
      <c r="G381" s="117"/>
      <c r="H381" s="118"/>
      <c r="J381" s="119"/>
      <c r="K381" s="35"/>
    </row>
    <row r="382">
      <c r="B382" s="116"/>
      <c r="G382" s="117"/>
      <c r="H382" s="118"/>
      <c r="J382" s="119"/>
      <c r="K382" s="35"/>
    </row>
    <row r="383">
      <c r="B383" s="116"/>
      <c r="G383" s="117"/>
      <c r="H383" s="118"/>
      <c r="J383" s="119"/>
      <c r="K383" s="35"/>
    </row>
    <row r="384">
      <c r="B384" s="116"/>
      <c r="G384" s="117"/>
      <c r="H384" s="118"/>
      <c r="J384" s="119"/>
      <c r="K384" s="35"/>
    </row>
    <row r="385">
      <c r="B385" s="116"/>
      <c r="G385" s="117"/>
      <c r="H385" s="118"/>
      <c r="J385" s="119"/>
      <c r="K385" s="35"/>
    </row>
    <row r="386">
      <c r="B386" s="116"/>
      <c r="G386" s="117"/>
      <c r="H386" s="118"/>
      <c r="J386" s="119"/>
      <c r="K386" s="35"/>
    </row>
    <row r="387">
      <c r="B387" s="116"/>
      <c r="G387" s="117"/>
      <c r="H387" s="118"/>
      <c r="J387" s="119"/>
      <c r="K387" s="35"/>
    </row>
    <row r="388">
      <c r="B388" s="116"/>
      <c r="G388" s="117"/>
      <c r="H388" s="118"/>
      <c r="J388" s="119"/>
      <c r="K388" s="35"/>
    </row>
    <row r="389">
      <c r="B389" s="116"/>
      <c r="G389" s="117"/>
      <c r="H389" s="118"/>
      <c r="J389" s="119"/>
      <c r="K389" s="35"/>
    </row>
    <row r="390">
      <c r="B390" s="116"/>
      <c r="G390" s="117"/>
      <c r="H390" s="118"/>
      <c r="J390" s="119"/>
      <c r="K390" s="35"/>
    </row>
    <row r="391">
      <c r="B391" s="116"/>
      <c r="G391" s="117"/>
      <c r="H391" s="118"/>
      <c r="J391" s="119"/>
      <c r="K391" s="35"/>
    </row>
    <row r="392">
      <c r="B392" s="116"/>
      <c r="G392" s="117"/>
      <c r="H392" s="118"/>
      <c r="J392" s="119"/>
      <c r="K392" s="35"/>
    </row>
    <row r="393">
      <c r="B393" s="116"/>
      <c r="G393" s="117"/>
      <c r="H393" s="118"/>
      <c r="J393" s="119"/>
      <c r="K393" s="35"/>
    </row>
    <row r="394">
      <c r="B394" s="116"/>
      <c r="G394" s="117"/>
      <c r="H394" s="118"/>
      <c r="J394" s="119"/>
      <c r="K394" s="35"/>
    </row>
    <row r="395">
      <c r="B395" s="116"/>
      <c r="G395" s="117"/>
      <c r="H395" s="118"/>
      <c r="J395" s="119"/>
      <c r="K395" s="35"/>
    </row>
    <row r="396">
      <c r="B396" s="116"/>
      <c r="G396" s="117"/>
      <c r="H396" s="118"/>
      <c r="J396" s="119"/>
      <c r="K396" s="35"/>
    </row>
    <row r="397">
      <c r="B397" s="116"/>
      <c r="G397" s="117"/>
      <c r="H397" s="118"/>
      <c r="J397" s="119"/>
      <c r="K397" s="35"/>
    </row>
    <row r="398">
      <c r="B398" s="116"/>
      <c r="G398" s="117"/>
      <c r="H398" s="118"/>
      <c r="J398" s="119"/>
      <c r="K398" s="35"/>
    </row>
    <row r="399">
      <c r="B399" s="116"/>
      <c r="G399" s="117"/>
      <c r="H399" s="118"/>
      <c r="J399" s="119"/>
      <c r="K399" s="35"/>
    </row>
    <row r="400">
      <c r="B400" s="116"/>
      <c r="G400" s="117"/>
      <c r="H400" s="118"/>
      <c r="J400" s="119"/>
      <c r="K400" s="35"/>
    </row>
    <row r="401">
      <c r="B401" s="116"/>
      <c r="G401" s="117"/>
      <c r="H401" s="118"/>
      <c r="J401" s="119"/>
      <c r="K401" s="35"/>
    </row>
    <row r="402">
      <c r="B402" s="116"/>
      <c r="G402" s="117"/>
      <c r="H402" s="118"/>
      <c r="J402" s="119"/>
      <c r="K402" s="35"/>
    </row>
    <row r="403">
      <c r="B403" s="116"/>
      <c r="G403" s="117"/>
      <c r="H403" s="118"/>
      <c r="J403" s="119"/>
      <c r="K403" s="35"/>
    </row>
    <row r="404">
      <c r="B404" s="116"/>
      <c r="G404" s="117"/>
      <c r="H404" s="118"/>
      <c r="J404" s="119"/>
      <c r="K404" s="35"/>
    </row>
    <row r="405">
      <c r="B405" s="116"/>
      <c r="G405" s="117"/>
      <c r="H405" s="118"/>
      <c r="J405" s="119"/>
      <c r="K405" s="35"/>
    </row>
    <row r="406">
      <c r="B406" s="116"/>
      <c r="G406" s="117"/>
      <c r="H406" s="118"/>
      <c r="J406" s="119"/>
      <c r="K406" s="35"/>
    </row>
    <row r="407">
      <c r="B407" s="116"/>
      <c r="G407" s="117"/>
      <c r="H407" s="118"/>
      <c r="J407" s="119"/>
      <c r="K407" s="35"/>
    </row>
    <row r="408">
      <c r="B408" s="116"/>
      <c r="G408" s="117"/>
      <c r="H408" s="118"/>
      <c r="J408" s="119"/>
      <c r="K408" s="35"/>
    </row>
    <row r="409">
      <c r="B409" s="116"/>
      <c r="G409" s="117"/>
      <c r="H409" s="118"/>
      <c r="J409" s="119"/>
      <c r="K409" s="35"/>
    </row>
    <row r="410">
      <c r="B410" s="116"/>
      <c r="G410" s="117"/>
      <c r="H410" s="118"/>
      <c r="J410" s="119"/>
      <c r="K410" s="35"/>
    </row>
    <row r="411">
      <c r="B411" s="116"/>
      <c r="G411" s="117"/>
      <c r="H411" s="118"/>
      <c r="J411" s="119"/>
      <c r="K411" s="35"/>
    </row>
    <row r="412">
      <c r="B412" s="116"/>
      <c r="G412" s="117"/>
      <c r="H412" s="118"/>
      <c r="J412" s="119"/>
      <c r="K412" s="35"/>
    </row>
    <row r="413">
      <c r="B413" s="116"/>
      <c r="G413" s="117"/>
      <c r="H413" s="118"/>
      <c r="J413" s="119"/>
      <c r="K413" s="35"/>
    </row>
    <row r="414">
      <c r="B414" s="116"/>
      <c r="G414" s="117"/>
      <c r="H414" s="118"/>
      <c r="J414" s="119"/>
      <c r="K414" s="35"/>
    </row>
    <row r="415">
      <c r="B415" s="116"/>
      <c r="G415" s="117"/>
      <c r="H415" s="118"/>
      <c r="J415" s="119"/>
      <c r="K415" s="35"/>
    </row>
    <row r="416">
      <c r="B416" s="116"/>
      <c r="G416" s="117"/>
      <c r="H416" s="118"/>
      <c r="J416" s="119"/>
      <c r="K416" s="35"/>
    </row>
    <row r="417">
      <c r="B417" s="116"/>
      <c r="G417" s="117"/>
      <c r="H417" s="118"/>
      <c r="J417" s="119"/>
      <c r="K417" s="35"/>
    </row>
    <row r="418">
      <c r="B418" s="116"/>
      <c r="G418" s="117"/>
      <c r="H418" s="118"/>
      <c r="J418" s="119"/>
      <c r="K418" s="35"/>
    </row>
    <row r="419">
      <c r="B419" s="116"/>
      <c r="G419" s="117"/>
      <c r="H419" s="118"/>
      <c r="J419" s="119"/>
      <c r="K419" s="35"/>
    </row>
    <row r="420">
      <c r="B420" s="116"/>
      <c r="G420" s="117"/>
      <c r="H420" s="118"/>
      <c r="J420" s="119"/>
      <c r="K420" s="35"/>
    </row>
    <row r="421">
      <c r="B421" s="116"/>
      <c r="G421" s="117"/>
      <c r="H421" s="118"/>
      <c r="J421" s="119"/>
      <c r="K421" s="35"/>
    </row>
    <row r="422">
      <c r="B422" s="116"/>
      <c r="G422" s="117"/>
      <c r="H422" s="118"/>
      <c r="J422" s="119"/>
      <c r="K422" s="35"/>
    </row>
    <row r="423">
      <c r="B423" s="116"/>
      <c r="G423" s="117"/>
      <c r="H423" s="118"/>
      <c r="J423" s="119"/>
      <c r="K423" s="35"/>
    </row>
    <row r="424">
      <c r="B424" s="116"/>
      <c r="G424" s="117"/>
      <c r="H424" s="118"/>
      <c r="J424" s="119"/>
      <c r="K424" s="35"/>
    </row>
    <row r="425">
      <c r="B425" s="116"/>
      <c r="G425" s="117"/>
      <c r="H425" s="118"/>
      <c r="J425" s="119"/>
      <c r="K425" s="35"/>
    </row>
    <row r="426">
      <c r="B426" s="116"/>
      <c r="G426" s="117"/>
      <c r="H426" s="118"/>
      <c r="J426" s="119"/>
      <c r="K426" s="35"/>
    </row>
    <row r="427">
      <c r="B427" s="116"/>
      <c r="G427" s="117"/>
      <c r="H427" s="118"/>
      <c r="J427" s="119"/>
      <c r="K427" s="35"/>
    </row>
    <row r="428">
      <c r="B428" s="116"/>
      <c r="G428" s="117"/>
      <c r="H428" s="118"/>
      <c r="J428" s="119"/>
      <c r="K428" s="35"/>
    </row>
    <row r="429">
      <c r="B429" s="116"/>
      <c r="G429" s="117"/>
      <c r="H429" s="118"/>
      <c r="J429" s="119"/>
      <c r="K429" s="35"/>
    </row>
    <row r="430">
      <c r="B430" s="116"/>
      <c r="G430" s="117"/>
      <c r="H430" s="118"/>
      <c r="J430" s="119"/>
      <c r="K430" s="35"/>
    </row>
    <row r="431">
      <c r="B431" s="116"/>
      <c r="G431" s="117"/>
      <c r="H431" s="118"/>
      <c r="J431" s="119"/>
      <c r="K431" s="35"/>
    </row>
    <row r="432">
      <c r="B432" s="116"/>
      <c r="G432" s="117"/>
      <c r="H432" s="118"/>
      <c r="J432" s="119"/>
      <c r="K432" s="35"/>
    </row>
    <row r="433">
      <c r="B433" s="116"/>
      <c r="G433" s="117"/>
      <c r="H433" s="118"/>
      <c r="J433" s="119"/>
      <c r="K433" s="35"/>
    </row>
    <row r="434">
      <c r="B434" s="116"/>
      <c r="G434" s="117"/>
      <c r="H434" s="118"/>
      <c r="J434" s="119"/>
      <c r="K434" s="35"/>
    </row>
    <row r="435">
      <c r="B435" s="116"/>
      <c r="G435" s="117"/>
      <c r="H435" s="118"/>
      <c r="J435" s="119"/>
      <c r="K435" s="35"/>
    </row>
    <row r="436">
      <c r="B436" s="116"/>
      <c r="G436" s="117"/>
      <c r="H436" s="118"/>
      <c r="J436" s="119"/>
      <c r="K436" s="35"/>
    </row>
    <row r="437">
      <c r="B437" s="116"/>
      <c r="G437" s="117"/>
      <c r="H437" s="118"/>
      <c r="J437" s="119"/>
      <c r="K437" s="35"/>
    </row>
    <row r="438">
      <c r="B438" s="116"/>
      <c r="G438" s="117"/>
      <c r="H438" s="118"/>
      <c r="J438" s="119"/>
      <c r="K438" s="35"/>
    </row>
    <row r="439">
      <c r="B439" s="116"/>
      <c r="G439" s="117"/>
      <c r="H439" s="118"/>
      <c r="J439" s="119"/>
      <c r="K439" s="35"/>
    </row>
    <row r="440">
      <c r="B440" s="116"/>
      <c r="G440" s="117"/>
      <c r="H440" s="118"/>
      <c r="J440" s="119"/>
      <c r="K440" s="35"/>
    </row>
    <row r="441">
      <c r="B441" s="116"/>
      <c r="G441" s="117"/>
      <c r="H441" s="118"/>
      <c r="J441" s="119"/>
      <c r="K441" s="35"/>
    </row>
    <row r="442">
      <c r="B442" s="116"/>
      <c r="G442" s="117"/>
      <c r="H442" s="118"/>
      <c r="J442" s="119"/>
      <c r="K442" s="35"/>
    </row>
    <row r="443">
      <c r="B443" s="116"/>
      <c r="G443" s="117"/>
      <c r="H443" s="118"/>
      <c r="J443" s="119"/>
      <c r="K443" s="35"/>
    </row>
    <row r="444">
      <c r="B444" s="116"/>
      <c r="G444" s="117"/>
      <c r="H444" s="118"/>
      <c r="J444" s="119"/>
      <c r="K444" s="35"/>
    </row>
    <row r="445">
      <c r="B445" s="116"/>
      <c r="G445" s="117"/>
      <c r="H445" s="118"/>
      <c r="J445" s="119"/>
      <c r="K445" s="35"/>
    </row>
    <row r="446">
      <c r="B446" s="116"/>
      <c r="G446" s="117"/>
      <c r="H446" s="118"/>
      <c r="J446" s="119"/>
      <c r="K446" s="35"/>
    </row>
    <row r="447">
      <c r="B447" s="116"/>
      <c r="G447" s="117"/>
      <c r="H447" s="118"/>
      <c r="J447" s="119"/>
      <c r="K447" s="35"/>
    </row>
    <row r="448">
      <c r="B448" s="116"/>
      <c r="G448" s="117"/>
      <c r="H448" s="118"/>
      <c r="J448" s="119"/>
      <c r="K448" s="35"/>
    </row>
    <row r="449">
      <c r="B449" s="116"/>
      <c r="G449" s="117"/>
      <c r="H449" s="118"/>
      <c r="J449" s="119"/>
      <c r="K449" s="35"/>
    </row>
    <row r="450">
      <c r="B450" s="116"/>
      <c r="G450" s="117"/>
      <c r="H450" s="118"/>
      <c r="J450" s="119"/>
      <c r="K450" s="35"/>
    </row>
    <row r="451">
      <c r="B451" s="116"/>
      <c r="G451" s="117"/>
      <c r="H451" s="118"/>
      <c r="J451" s="119"/>
      <c r="K451" s="35"/>
    </row>
    <row r="452">
      <c r="B452" s="116"/>
      <c r="G452" s="117"/>
      <c r="H452" s="118"/>
      <c r="J452" s="119"/>
      <c r="K452" s="35"/>
    </row>
    <row r="453">
      <c r="B453" s="116"/>
      <c r="G453" s="117"/>
      <c r="H453" s="118"/>
      <c r="J453" s="119"/>
      <c r="K453" s="35"/>
    </row>
    <row r="454">
      <c r="B454" s="116"/>
      <c r="G454" s="117"/>
      <c r="H454" s="118"/>
      <c r="J454" s="119"/>
      <c r="K454" s="35"/>
    </row>
    <row r="455">
      <c r="B455" s="116"/>
      <c r="G455" s="117"/>
      <c r="H455" s="118"/>
      <c r="J455" s="119"/>
      <c r="K455" s="35"/>
    </row>
    <row r="456">
      <c r="B456" s="116"/>
      <c r="G456" s="117"/>
      <c r="H456" s="118"/>
      <c r="J456" s="119"/>
      <c r="K456" s="35"/>
    </row>
    <row r="457">
      <c r="B457" s="116"/>
      <c r="G457" s="117"/>
      <c r="H457" s="118"/>
      <c r="J457" s="119"/>
      <c r="K457" s="35"/>
    </row>
    <row r="458">
      <c r="B458" s="116"/>
      <c r="G458" s="117"/>
      <c r="H458" s="118"/>
      <c r="J458" s="119"/>
      <c r="K458" s="35"/>
    </row>
    <row r="459">
      <c r="B459" s="116"/>
      <c r="G459" s="117"/>
      <c r="H459" s="118"/>
      <c r="J459" s="119"/>
      <c r="K459" s="35"/>
    </row>
    <row r="460">
      <c r="B460" s="116"/>
      <c r="G460" s="117"/>
      <c r="H460" s="118"/>
      <c r="J460" s="119"/>
      <c r="K460" s="35"/>
    </row>
    <row r="461">
      <c r="B461" s="116"/>
      <c r="G461" s="117"/>
      <c r="H461" s="118"/>
      <c r="J461" s="119"/>
      <c r="K461" s="35"/>
    </row>
    <row r="462">
      <c r="B462" s="116"/>
      <c r="G462" s="117"/>
      <c r="H462" s="118"/>
      <c r="J462" s="119"/>
      <c r="K462" s="35"/>
    </row>
    <row r="463">
      <c r="B463" s="116"/>
      <c r="G463" s="117"/>
      <c r="H463" s="118"/>
      <c r="J463" s="119"/>
      <c r="K463" s="35"/>
    </row>
    <row r="464">
      <c r="B464" s="116"/>
      <c r="G464" s="117"/>
      <c r="H464" s="118"/>
      <c r="J464" s="119"/>
      <c r="K464" s="35"/>
    </row>
    <row r="465">
      <c r="B465" s="116"/>
      <c r="G465" s="117"/>
      <c r="H465" s="118"/>
      <c r="J465" s="119"/>
      <c r="K465" s="35"/>
    </row>
    <row r="466">
      <c r="B466" s="116"/>
      <c r="G466" s="117"/>
      <c r="H466" s="118"/>
      <c r="J466" s="119"/>
      <c r="K466" s="35"/>
    </row>
    <row r="467">
      <c r="B467" s="116"/>
      <c r="G467" s="117"/>
      <c r="H467" s="118"/>
      <c r="J467" s="119"/>
      <c r="K467" s="35"/>
    </row>
    <row r="468">
      <c r="B468" s="116"/>
      <c r="G468" s="117"/>
      <c r="H468" s="118"/>
      <c r="J468" s="119"/>
      <c r="K468" s="35"/>
    </row>
    <row r="469">
      <c r="B469" s="116"/>
      <c r="G469" s="117"/>
      <c r="H469" s="118"/>
      <c r="J469" s="119"/>
      <c r="K469" s="35"/>
    </row>
    <row r="470">
      <c r="B470" s="116"/>
      <c r="G470" s="117"/>
      <c r="H470" s="118"/>
      <c r="J470" s="119"/>
      <c r="K470" s="35"/>
    </row>
    <row r="471">
      <c r="B471" s="116"/>
      <c r="G471" s="117"/>
      <c r="H471" s="118"/>
      <c r="J471" s="119"/>
      <c r="K471" s="35"/>
    </row>
    <row r="472">
      <c r="B472" s="116"/>
      <c r="G472" s="117"/>
      <c r="H472" s="118"/>
      <c r="J472" s="119"/>
      <c r="K472" s="35"/>
    </row>
    <row r="473">
      <c r="B473" s="116"/>
      <c r="G473" s="117"/>
      <c r="H473" s="118"/>
      <c r="J473" s="119"/>
      <c r="K473" s="35"/>
    </row>
    <row r="474">
      <c r="B474" s="116"/>
      <c r="G474" s="117"/>
      <c r="H474" s="118"/>
      <c r="J474" s="119"/>
      <c r="K474" s="35"/>
    </row>
    <row r="475">
      <c r="B475" s="116"/>
      <c r="G475" s="117"/>
      <c r="H475" s="118"/>
      <c r="J475" s="119"/>
      <c r="K475" s="35"/>
    </row>
    <row r="476">
      <c r="B476" s="116"/>
      <c r="G476" s="117"/>
      <c r="H476" s="118"/>
      <c r="J476" s="119"/>
      <c r="K476" s="35"/>
    </row>
    <row r="477">
      <c r="B477" s="116"/>
      <c r="G477" s="117"/>
      <c r="H477" s="118"/>
      <c r="J477" s="119"/>
      <c r="K477" s="35"/>
    </row>
    <row r="478">
      <c r="B478" s="116"/>
      <c r="G478" s="117"/>
      <c r="H478" s="118"/>
      <c r="J478" s="119"/>
      <c r="K478" s="35"/>
    </row>
    <row r="479">
      <c r="B479" s="116"/>
      <c r="G479" s="117"/>
      <c r="H479" s="118"/>
      <c r="J479" s="119"/>
      <c r="K479" s="35"/>
    </row>
    <row r="480">
      <c r="B480" s="116"/>
      <c r="G480" s="117"/>
      <c r="H480" s="118"/>
      <c r="J480" s="119"/>
      <c r="K480" s="35"/>
    </row>
    <row r="481">
      <c r="B481" s="116"/>
      <c r="G481" s="117"/>
      <c r="H481" s="118"/>
      <c r="J481" s="119"/>
      <c r="K481" s="35"/>
    </row>
    <row r="482">
      <c r="B482" s="116"/>
      <c r="G482" s="117"/>
      <c r="H482" s="118"/>
      <c r="J482" s="119"/>
      <c r="K482" s="35"/>
    </row>
    <row r="483">
      <c r="B483" s="116"/>
      <c r="G483" s="117"/>
      <c r="H483" s="118"/>
      <c r="J483" s="119"/>
      <c r="K483" s="35"/>
    </row>
    <row r="484">
      <c r="B484" s="116"/>
      <c r="G484" s="117"/>
      <c r="H484" s="118"/>
      <c r="J484" s="119"/>
      <c r="K484" s="35"/>
    </row>
    <row r="485">
      <c r="B485" s="116"/>
      <c r="G485" s="117"/>
      <c r="H485" s="118"/>
      <c r="J485" s="119"/>
      <c r="K485" s="35"/>
    </row>
    <row r="486">
      <c r="B486" s="116"/>
      <c r="G486" s="117"/>
      <c r="H486" s="118"/>
      <c r="J486" s="119"/>
      <c r="K486" s="35"/>
    </row>
    <row r="487">
      <c r="B487" s="116"/>
      <c r="G487" s="117"/>
      <c r="H487" s="118"/>
      <c r="J487" s="119"/>
      <c r="K487" s="35"/>
    </row>
    <row r="488">
      <c r="B488" s="116"/>
      <c r="G488" s="117"/>
      <c r="H488" s="118"/>
      <c r="J488" s="119"/>
      <c r="K488" s="35"/>
    </row>
    <row r="489">
      <c r="B489" s="116"/>
      <c r="G489" s="117"/>
      <c r="H489" s="118"/>
      <c r="J489" s="119"/>
      <c r="K489" s="35"/>
    </row>
    <row r="490">
      <c r="B490" s="116"/>
      <c r="G490" s="117"/>
      <c r="H490" s="118"/>
      <c r="J490" s="119"/>
      <c r="K490" s="35"/>
    </row>
    <row r="491">
      <c r="B491" s="116"/>
      <c r="G491" s="117"/>
      <c r="H491" s="118"/>
      <c r="J491" s="119"/>
      <c r="K491" s="35"/>
    </row>
    <row r="492">
      <c r="B492" s="116"/>
      <c r="G492" s="117"/>
      <c r="H492" s="118"/>
      <c r="J492" s="119"/>
      <c r="K492" s="35"/>
    </row>
    <row r="493">
      <c r="B493" s="116"/>
      <c r="G493" s="117"/>
      <c r="H493" s="118"/>
      <c r="J493" s="119"/>
      <c r="K493" s="35"/>
    </row>
    <row r="494">
      <c r="B494" s="116"/>
      <c r="G494" s="117"/>
      <c r="H494" s="118"/>
      <c r="J494" s="119"/>
      <c r="K494" s="35"/>
    </row>
    <row r="495">
      <c r="B495" s="116"/>
      <c r="G495" s="117"/>
      <c r="H495" s="118"/>
      <c r="J495" s="119"/>
      <c r="K495" s="35"/>
    </row>
    <row r="496">
      <c r="B496" s="116"/>
      <c r="G496" s="117"/>
      <c r="H496" s="118"/>
      <c r="J496" s="119"/>
      <c r="K496" s="35"/>
    </row>
    <row r="497">
      <c r="B497" s="116"/>
      <c r="G497" s="117"/>
      <c r="H497" s="118"/>
      <c r="J497" s="119"/>
      <c r="K497" s="35"/>
    </row>
    <row r="498">
      <c r="B498" s="116"/>
      <c r="G498" s="117"/>
      <c r="H498" s="118"/>
      <c r="J498" s="119"/>
      <c r="K498" s="35"/>
    </row>
    <row r="499">
      <c r="B499" s="116"/>
      <c r="G499" s="117"/>
      <c r="H499" s="118"/>
      <c r="J499" s="119"/>
      <c r="K499" s="35"/>
    </row>
    <row r="500">
      <c r="B500" s="116"/>
      <c r="G500" s="117"/>
      <c r="H500" s="118"/>
      <c r="J500" s="119"/>
      <c r="K500" s="35"/>
    </row>
    <row r="501">
      <c r="B501" s="116"/>
      <c r="G501" s="117"/>
      <c r="H501" s="118"/>
      <c r="J501" s="119"/>
      <c r="K501" s="35"/>
    </row>
    <row r="502">
      <c r="B502" s="116"/>
      <c r="G502" s="117"/>
      <c r="H502" s="118"/>
      <c r="J502" s="119"/>
      <c r="K502" s="35"/>
    </row>
    <row r="503">
      <c r="B503" s="116"/>
      <c r="G503" s="117"/>
      <c r="H503" s="118"/>
      <c r="J503" s="119"/>
      <c r="K503" s="35"/>
    </row>
    <row r="504">
      <c r="B504" s="116"/>
      <c r="G504" s="117"/>
      <c r="H504" s="118"/>
      <c r="J504" s="119"/>
      <c r="K504" s="35"/>
    </row>
    <row r="505">
      <c r="B505" s="116"/>
      <c r="G505" s="117"/>
      <c r="H505" s="118"/>
      <c r="J505" s="119"/>
      <c r="K505" s="35"/>
    </row>
    <row r="506">
      <c r="B506" s="116"/>
      <c r="G506" s="117"/>
      <c r="H506" s="118"/>
      <c r="J506" s="119"/>
      <c r="K506" s="35"/>
    </row>
    <row r="507">
      <c r="B507" s="116"/>
      <c r="G507" s="117"/>
      <c r="H507" s="118"/>
      <c r="J507" s="119"/>
      <c r="K507" s="35"/>
    </row>
    <row r="508">
      <c r="B508" s="116"/>
      <c r="G508" s="117"/>
      <c r="H508" s="118"/>
      <c r="J508" s="119"/>
      <c r="K508" s="35"/>
    </row>
    <row r="509">
      <c r="B509" s="116"/>
      <c r="G509" s="117"/>
      <c r="H509" s="118"/>
      <c r="J509" s="119"/>
      <c r="K509" s="35"/>
    </row>
    <row r="510">
      <c r="B510" s="116"/>
      <c r="G510" s="117"/>
      <c r="H510" s="118"/>
      <c r="J510" s="119"/>
      <c r="K510" s="35"/>
    </row>
    <row r="511">
      <c r="B511" s="116"/>
      <c r="G511" s="117"/>
      <c r="H511" s="118"/>
      <c r="J511" s="119"/>
      <c r="K511" s="35"/>
    </row>
    <row r="512">
      <c r="B512" s="116"/>
      <c r="G512" s="117"/>
      <c r="H512" s="118"/>
      <c r="J512" s="119"/>
      <c r="K512" s="35"/>
    </row>
    <row r="513">
      <c r="B513" s="116"/>
      <c r="G513" s="117"/>
      <c r="H513" s="118"/>
      <c r="J513" s="119"/>
      <c r="K513" s="35"/>
    </row>
    <row r="514">
      <c r="B514" s="116"/>
      <c r="G514" s="117"/>
      <c r="H514" s="118"/>
      <c r="J514" s="119"/>
      <c r="K514" s="35"/>
    </row>
    <row r="515">
      <c r="B515" s="116"/>
      <c r="G515" s="117"/>
      <c r="H515" s="118"/>
      <c r="J515" s="119"/>
      <c r="K515" s="35"/>
    </row>
    <row r="516">
      <c r="B516" s="116"/>
      <c r="G516" s="117"/>
      <c r="H516" s="118"/>
      <c r="J516" s="119"/>
      <c r="K516" s="35"/>
    </row>
    <row r="517">
      <c r="B517" s="116"/>
      <c r="G517" s="117"/>
      <c r="H517" s="118"/>
      <c r="J517" s="119"/>
      <c r="K517" s="35"/>
    </row>
    <row r="518">
      <c r="B518" s="116"/>
      <c r="G518" s="117"/>
      <c r="H518" s="118"/>
      <c r="J518" s="119"/>
      <c r="K518" s="35"/>
    </row>
    <row r="519">
      <c r="B519" s="116"/>
      <c r="G519" s="117"/>
      <c r="H519" s="118"/>
      <c r="J519" s="119"/>
      <c r="K519" s="35"/>
    </row>
    <row r="520">
      <c r="B520" s="116"/>
      <c r="G520" s="117"/>
      <c r="H520" s="118"/>
      <c r="J520" s="119"/>
      <c r="K520" s="35"/>
    </row>
    <row r="521">
      <c r="B521" s="116"/>
      <c r="G521" s="117"/>
      <c r="H521" s="118"/>
      <c r="J521" s="119"/>
      <c r="K521" s="35"/>
    </row>
    <row r="522">
      <c r="B522" s="116"/>
      <c r="G522" s="117"/>
      <c r="H522" s="118"/>
      <c r="J522" s="119"/>
      <c r="K522" s="35"/>
    </row>
    <row r="523">
      <c r="B523" s="116"/>
      <c r="G523" s="117"/>
      <c r="H523" s="118"/>
      <c r="J523" s="119"/>
      <c r="K523" s="35"/>
    </row>
    <row r="524">
      <c r="B524" s="116"/>
      <c r="G524" s="117"/>
      <c r="H524" s="118"/>
      <c r="J524" s="119"/>
      <c r="K524" s="35"/>
    </row>
    <row r="525">
      <c r="B525" s="116"/>
      <c r="G525" s="117"/>
      <c r="H525" s="118"/>
      <c r="J525" s="119"/>
      <c r="K525" s="35"/>
    </row>
    <row r="526">
      <c r="B526" s="116"/>
      <c r="G526" s="117"/>
      <c r="H526" s="118"/>
      <c r="J526" s="119"/>
      <c r="K526" s="35"/>
    </row>
    <row r="527">
      <c r="B527" s="116"/>
      <c r="G527" s="117"/>
      <c r="H527" s="118"/>
      <c r="J527" s="119"/>
      <c r="K527" s="35"/>
    </row>
    <row r="528">
      <c r="B528" s="116"/>
      <c r="G528" s="117"/>
      <c r="H528" s="118"/>
      <c r="J528" s="119"/>
      <c r="K528" s="35"/>
    </row>
    <row r="529">
      <c r="B529" s="116"/>
      <c r="G529" s="117"/>
      <c r="H529" s="118"/>
      <c r="J529" s="119"/>
      <c r="K529" s="35"/>
    </row>
    <row r="530">
      <c r="B530" s="116"/>
      <c r="G530" s="117"/>
      <c r="H530" s="118"/>
      <c r="J530" s="119"/>
      <c r="K530" s="35"/>
    </row>
    <row r="531">
      <c r="B531" s="116"/>
      <c r="G531" s="117"/>
      <c r="H531" s="118"/>
      <c r="J531" s="119"/>
      <c r="K531" s="35"/>
    </row>
    <row r="532">
      <c r="B532" s="116"/>
      <c r="G532" s="117"/>
      <c r="H532" s="118"/>
      <c r="J532" s="119"/>
      <c r="K532" s="35"/>
    </row>
    <row r="533">
      <c r="B533" s="116"/>
      <c r="G533" s="117"/>
      <c r="H533" s="118"/>
      <c r="J533" s="119"/>
      <c r="K533" s="35"/>
    </row>
    <row r="534">
      <c r="B534" s="116"/>
      <c r="G534" s="117"/>
      <c r="H534" s="118"/>
      <c r="J534" s="119"/>
      <c r="K534" s="35"/>
    </row>
    <row r="535">
      <c r="B535" s="116"/>
      <c r="G535" s="117"/>
      <c r="H535" s="118"/>
      <c r="J535" s="119"/>
      <c r="K535" s="35"/>
    </row>
    <row r="536">
      <c r="B536" s="116"/>
      <c r="G536" s="117"/>
      <c r="H536" s="118"/>
      <c r="J536" s="119"/>
      <c r="K536" s="35"/>
    </row>
    <row r="537">
      <c r="B537" s="116"/>
      <c r="G537" s="117"/>
      <c r="H537" s="118"/>
      <c r="J537" s="119"/>
      <c r="K537" s="35"/>
    </row>
    <row r="538">
      <c r="B538" s="116"/>
      <c r="G538" s="117"/>
      <c r="H538" s="118"/>
      <c r="J538" s="119"/>
      <c r="K538" s="35"/>
    </row>
    <row r="539">
      <c r="B539" s="116"/>
      <c r="G539" s="117"/>
      <c r="H539" s="118"/>
      <c r="J539" s="119"/>
      <c r="K539" s="35"/>
    </row>
    <row r="540">
      <c r="B540" s="116"/>
      <c r="G540" s="117"/>
      <c r="H540" s="118"/>
      <c r="J540" s="119"/>
      <c r="K540" s="35"/>
    </row>
    <row r="541">
      <c r="B541" s="116"/>
      <c r="G541" s="117"/>
      <c r="H541" s="118"/>
      <c r="J541" s="119"/>
      <c r="K541" s="35"/>
    </row>
    <row r="542">
      <c r="B542" s="116"/>
      <c r="G542" s="117"/>
      <c r="H542" s="118"/>
      <c r="J542" s="119"/>
      <c r="K542" s="35"/>
    </row>
    <row r="543">
      <c r="B543" s="116"/>
      <c r="G543" s="117"/>
      <c r="H543" s="118"/>
      <c r="J543" s="119"/>
      <c r="K543" s="35"/>
    </row>
    <row r="544">
      <c r="B544" s="116"/>
      <c r="G544" s="117"/>
      <c r="H544" s="118"/>
      <c r="J544" s="119"/>
      <c r="K544" s="35"/>
    </row>
    <row r="545">
      <c r="B545" s="116"/>
      <c r="G545" s="117"/>
      <c r="H545" s="118"/>
      <c r="J545" s="119"/>
      <c r="K545" s="35"/>
    </row>
    <row r="546">
      <c r="B546" s="116"/>
      <c r="G546" s="117"/>
      <c r="H546" s="118"/>
      <c r="J546" s="119"/>
      <c r="K546" s="35"/>
    </row>
    <row r="547">
      <c r="B547" s="116"/>
      <c r="G547" s="117"/>
      <c r="H547" s="118"/>
      <c r="J547" s="119"/>
      <c r="K547" s="35"/>
    </row>
    <row r="548">
      <c r="B548" s="116"/>
      <c r="G548" s="117"/>
      <c r="H548" s="118"/>
      <c r="J548" s="119"/>
      <c r="K548" s="35"/>
    </row>
    <row r="549">
      <c r="B549" s="116"/>
      <c r="G549" s="117"/>
      <c r="H549" s="118"/>
      <c r="J549" s="119"/>
      <c r="K549" s="35"/>
    </row>
    <row r="550">
      <c r="B550" s="116"/>
      <c r="G550" s="117"/>
      <c r="H550" s="118"/>
      <c r="J550" s="119"/>
      <c r="K550" s="35"/>
    </row>
    <row r="551">
      <c r="B551" s="116"/>
      <c r="G551" s="117"/>
      <c r="H551" s="118"/>
      <c r="J551" s="119"/>
      <c r="K551" s="35"/>
    </row>
    <row r="552">
      <c r="B552" s="116"/>
      <c r="G552" s="117"/>
      <c r="H552" s="118"/>
      <c r="J552" s="119"/>
      <c r="K552" s="35"/>
    </row>
    <row r="553">
      <c r="B553" s="116"/>
      <c r="G553" s="117"/>
      <c r="H553" s="118"/>
      <c r="J553" s="119"/>
      <c r="K553" s="35"/>
    </row>
    <row r="554">
      <c r="B554" s="116"/>
      <c r="G554" s="117"/>
      <c r="H554" s="118"/>
      <c r="J554" s="119"/>
      <c r="K554" s="35"/>
    </row>
    <row r="555">
      <c r="B555" s="116"/>
      <c r="G555" s="117"/>
      <c r="H555" s="118"/>
      <c r="J555" s="119"/>
      <c r="K555" s="35"/>
    </row>
    <row r="556">
      <c r="B556" s="116"/>
      <c r="G556" s="117"/>
      <c r="H556" s="118"/>
      <c r="J556" s="119"/>
      <c r="K556" s="35"/>
    </row>
    <row r="557">
      <c r="B557" s="116"/>
      <c r="G557" s="117"/>
      <c r="H557" s="118"/>
      <c r="J557" s="119"/>
      <c r="K557" s="35"/>
    </row>
    <row r="558">
      <c r="B558" s="116"/>
      <c r="G558" s="117"/>
      <c r="H558" s="118"/>
      <c r="J558" s="119"/>
      <c r="K558" s="35"/>
    </row>
    <row r="559">
      <c r="B559" s="116"/>
      <c r="G559" s="117"/>
      <c r="H559" s="118"/>
      <c r="J559" s="119"/>
      <c r="K559" s="35"/>
    </row>
    <row r="560">
      <c r="B560" s="116"/>
      <c r="G560" s="117"/>
      <c r="H560" s="118"/>
      <c r="J560" s="119"/>
      <c r="K560" s="35"/>
    </row>
    <row r="561">
      <c r="B561" s="116"/>
      <c r="G561" s="117"/>
      <c r="H561" s="118"/>
      <c r="J561" s="119"/>
      <c r="K561" s="35"/>
    </row>
    <row r="562">
      <c r="B562" s="116"/>
      <c r="G562" s="117"/>
      <c r="H562" s="118"/>
      <c r="J562" s="119"/>
      <c r="K562" s="35"/>
    </row>
    <row r="563">
      <c r="B563" s="116"/>
      <c r="G563" s="117"/>
      <c r="H563" s="118"/>
      <c r="J563" s="119"/>
      <c r="K563" s="35"/>
    </row>
    <row r="564">
      <c r="B564" s="116"/>
      <c r="G564" s="117"/>
      <c r="H564" s="118"/>
      <c r="J564" s="119"/>
      <c r="K564" s="35"/>
    </row>
    <row r="565">
      <c r="B565" s="116"/>
      <c r="G565" s="117"/>
      <c r="H565" s="118"/>
      <c r="J565" s="119"/>
      <c r="K565" s="35"/>
    </row>
    <row r="566">
      <c r="B566" s="116"/>
      <c r="G566" s="117"/>
      <c r="H566" s="118"/>
      <c r="J566" s="119"/>
      <c r="K566" s="35"/>
    </row>
    <row r="567">
      <c r="B567" s="116"/>
      <c r="G567" s="117"/>
      <c r="H567" s="118"/>
      <c r="J567" s="119"/>
      <c r="K567" s="35"/>
    </row>
    <row r="568">
      <c r="B568" s="116"/>
      <c r="G568" s="117"/>
      <c r="H568" s="118"/>
      <c r="J568" s="119"/>
      <c r="K568" s="35"/>
    </row>
    <row r="569">
      <c r="B569" s="116"/>
      <c r="G569" s="117"/>
      <c r="H569" s="118"/>
      <c r="J569" s="119"/>
      <c r="K569" s="35"/>
    </row>
    <row r="570">
      <c r="B570" s="116"/>
      <c r="G570" s="117"/>
      <c r="H570" s="118"/>
      <c r="J570" s="119"/>
      <c r="K570" s="35"/>
    </row>
    <row r="571">
      <c r="B571" s="116"/>
      <c r="G571" s="117"/>
      <c r="H571" s="118"/>
      <c r="J571" s="119"/>
      <c r="K571" s="35"/>
    </row>
    <row r="572">
      <c r="B572" s="116"/>
      <c r="G572" s="117"/>
      <c r="H572" s="118"/>
      <c r="J572" s="119"/>
      <c r="K572" s="35"/>
    </row>
    <row r="573">
      <c r="B573" s="116"/>
      <c r="G573" s="117"/>
      <c r="H573" s="118"/>
      <c r="J573" s="119"/>
      <c r="K573" s="35"/>
    </row>
    <row r="574">
      <c r="B574" s="116"/>
      <c r="G574" s="117"/>
      <c r="H574" s="118"/>
      <c r="J574" s="119"/>
      <c r="K574" s="35"/>
    </row>
    <row r="575">
      <c r="B575" s="116"/>
      <c r="G575" s="117"/>
      <c r="H575" s="118"/>
      <c r="J575" s="119"/>
      <c r="K575" s="35"/>
    </row>
    <row r="576">
      <c r="B576" s="116"/>
      <c r="G576" s="117"/>
      <c r="H576" s="118"/>
      <c r="J576" s="119"/>
      <c r="K576" s="35"/>
    </row>
    <row r="577">
      <c r="B577" s="116"/>
      <c r="G577" s="117"/>
      <c r="H577" s="118"/>
      <c r="J577" s="119"/>
      <c r="K577" s="35"/>
    </row>
    <row r="578">
      <c r="B578" s="116"/>
      <c r="G578" s="117"/>
      <c r="H578" s="118"/>
      <c r="J578" s="119"/>
      <c r="K578" s="35"/>
    </row>
    <row r="579">
      <c r="B579" s="116"/>
      <c r="G579" s="117"/>
      <c r="H579" s="118"/>
      <c r="J579" s="119"/>
      <c r="K579" s="35"/>
    </row>
    <row r="580">
      <c r="B580" s="116"/>
      <c r="G580" s="117"/>
      <c r="H580" s="118"/>
      <c r="J580" s="119"/>
      <c r="K580" s="35"/>
    </row>
    <row r="581">
      <c r="B581" s="116"/>
      <c r="G581" s="117"/>
      <c r="H581" s="118"/>
      <c r="J581" s="119"/>
      <c r="K581" s="35"/>
    </row>
    <row r="582">
      <c r="B582" s="116"/>
      <c r="G582" s="117"/>
      <c r="H582" s="118"/>
      <c r="J582" s="119"/>
      <c r="K582" s="35"/>
    </row>
    <row r="583">
      <c r="B583" s="116"/>
      <c r="G583" s="117"/>
      <c r="H583" s="118"/>
      <c r="J583" s="119"/>
      <c r="K583" s="35"/>
    </row>
    <row r="584">
      <c r="B584" s="116"/>
      <c r="G584" s="117"/>
      <c r="H584" s="118"/>
      <c r="J584" s="119"/>
      <c r="K584" s="35"/>
    </row>
    <row r="585">
      <c r="B585" s="116"/>
      <c r="G585" s="117"/>
      <c r="H585" s="118"/>
      <c r="J585" s="119"/>
      <c r="K585" s="35"/>
    </row>
    <row r="586">
      <c r="B586" s="116"/>
      <c r="G586" s="117"/>
      <c r="H586" s="118"/>
      <c r="J586" s="119"/>
      <c r="K586" s="35"/>
    </row>
    <row r="587">
      <c r="B587" s="116"/>
      <c r="G587" s="117"/>
      <c r="H587" s="118"/>
      <c r="J587" s="119"/>
      <c r="K587" s="35"/>
    </row>
    <row r="588">
      <c r="B588" s="116"/>
      <c r="G588" s="117"/>
      <c r="H588" s="118"/>
      <c r="J588" s="119"/>
      <c r="K588" s="35"/>
    </row>
    <row r="589">
      <c r="B589" s="116"/>
      <c r="G589" s="117"/>
      <c r="H589" s="118"/>
      <c r="J589" s="119"/>
      <c r="K589" s="35"/>
    </row>
    <row r="590">
      <c r="B590" s="116"/>
      <c r="G590" s="117"/>
      <c r="H590" s="118"/>
      <c r="J590" s="119"/>
      <c r="K590" s="35"/>
    </row>
    <row r="591">
      <c r="B591" s="116"/>
      <c r="G591" s="117"/>
      <c r="H591" s="118"/>
      <c r="J591" s="119"/>
      <c r="K591" s="35"/>
    </row>
    <row r="592">
      <c r="B592" s="116"/>
      <c r="G592" s="117"/>
      <c r="H592" s="118"/>
      <c r="J592" s="119"/>
      <c r="K592" s="35"/>
    </row>
    <row r="593">
      <c r="B593" s="116"/>
      <c r="G593" s="117"/>
      <c r="H593" s="118"/>
      <c r="J593" s="119"/>
      <c r="K593" s="35"/>
    </row>
    <row r="594">
      <c r="B594" s="116"/>
      <c r="G594" s="117"/>
      <c r="H594" s="118"/>
      <c r="J594" s="119"/>
      <c r="K594" s="35"/>
    </row>
    <row r="595">
      <c r="B595" s="116"/>
      <c r="G595" s="117"/>
      <c r="H595" s="118"/>
      <c r="J595" s="119"/>
      <c r="K595" s="35"/>
    </row>
    <row r="596">
      <c r="B596" s="116"/>
      <c r="G596" s="117"/>
      <c r="H596" s="118"/>
      <c r="J596" s="119"/>
      <c r="K596" s="35"/>
    </row>
    <row r="597">
      <c r="B597" s="116"/>
      <c r="G597" s="117"/>
      <c r="H597" s="118"/>
      <c r="J597" s="119"/>
      <c r="K597" s="35"/>
    </row>
    <row r="598">
      <c r="B598" s="116"/>
      <c r="G598" s="117"/>
      <c r="H598" s="118"/>
      <c r="J598" s="119"/>
      <c r="K598" s="35"/>
    </row>
    <row r="599">
      <c r="B599" s="116"/>
      <c r="G599" s="117"/>
      <c r="H599" s="118"/>
      <c r="J599" s="119"/>
      <c r="K599" s="35"/>
    </row>
    <row r="600">
      <c r="B600" s="116"/>
      <c r="G600" s="117"/>
      <c r="H600" s="118"/>
      <c r="J600" s="119"/>
      <c r="K600" s="35"/>
    </row>
    <row r="601">
      <c r="B601" s="116"/>
      <c r="G601" s="117"/>
      <c r="H601" s="118"/>
      <c r="J601" s="119"/>
      <c r="K601" s="35"/>
    </row>
    <row r="602">
      <c r="B602" s="116"/>
      <c r="G602" s="117"/>
      <c r="H602" s="118"/>
      <c r="J602" s="119"/>
      <c r="K602" s="35"/>
    </row>
    <row r="603">
      <c r="B603" s="116"/>
      <c r="G603" s="117"/>
      <c r="H603" s="118"/>
      <c r="J603" s="119"/>
      <c r="K603" s="35"/>
    </row>
    <row r="604">
      <c r="B604" s="116"/>
      <c r="G604" s="117"/>
      <c r="H604" s="118"/>
      <c r="J604" s="119"/>
      <c r="K604" s="35"/>
    </row>
    <row r="605">
      <c r="B605" s="116"/>
      <c r="G605" s="117"/>
      <c r="H605" s="118"/>
      <c r="J605" s="119"/>
      <c r="K605" s="35"/>
    </row>
    <row r="606">
      <c r="B606" s="116"/>
      <c r="G606" s="117"/>
      <c r="H606" s="118"/>
      <c r="J606" s="119"/>
      <c r="K606" s="35"/>
    </row>
    <row r="607">
      <c r="B607" s="116"/>
      <c r="G607" s="117"/>
      <c r="H607" s="118"/>
      <c r="J607" s="119"/>
      <c r="K607" s="35"/>
    </row>
    <row r="608">
      <c r="B608" s="116"/>
      <c r="G608" s="117"/>
      <c r="H608" s="118"/>
      <c r="J608" s="119"/>
      <c r="K608" s="35"/>
    </row>
    <row r="609">
      <c r="B609" s="116"/>
      <c r="G609" s="117"/>
      <c r="H609" s="118"/>
      <c r="J609" s="119"/>
      <c r="K609" s="35"/>
    </row>
    <row r="610">
      <c r="B610" s="116"/>
      <c r="G610" s="117"/>
      <c r="H610" s="118"/>
      <c r="J610" s="119"/>
      <c r="K610" s="35"/>
    </row>
    <row r="611">
      <c r="B611" s="116"/>
      <c r="G611" s="117"/>
      <c r="H611" s="118"/>
      <c r="J611" s="119"/>
      <c r="K611" s="35"/>
    </row>
    <row r="612">
      <c r="B612" s="116"/>
      <c r="G612" s="117"/>
      <c r="H612" s="118"/>
      <c r="J612" s="119"/>
      <c r="K612" s="35"/>
    </row>
    <row r="613">
      <c r="B613" s="116"/>
      <c r="G613" s="117"/>
      <c r="H613" s="118"/>
      <c r="J613" s="119"/>
      <c r="K613" s="35"/>
    </row>
    <row r="614">
      <c r="B614" s="116"/>
      <c r="G614" s="117"/>
      <c r="H614" s="118"/>
      <c r="J614" s="119"/>
      <c r="K614" s="35"/>
    </row>
    <row r="615">
      <c r="B615" s="116"/>
      <c r="G615" s="117"/>
      <c r="H615" s="118"/>
      <c r="J615" s="119"/>
      <c r="K615" s="35"/>
    </row>
    <row r="616">
      <c r="B616" s="116"/>
      <c r="G616" s="117"/>
      <c r="H616" s="118"/>
      <c r="J616" s="119"/>
      <c r="K616" s="35"/>
    </row>
    <row r="617">
      <c r="B617" s="116"/>
      <c r="G617" s="117"/>
      <c r="H617" s="118"/>
      <c r="J617" s="119"/>
      <c r="K617" s="35"/>
    </row>
    <row r="618">
      <c r="B618" s="116"/>
      <c r="G618" s="117"/>
      <c r="H618" s="118"/>
      <c r="J618" s="119"/>
      <c r="K618" s="35"/>
    </row>
    <row r="619">
      <c r="B619" s="116"/>
      <c r="G619" s="117"/>
      <c r="H619" s="118"/>
      <c r="J619" s="119"/>
      <c r="K619" s="35"/>
    </row>
    <row r="620">
      <c r="B620" s="116"/>
      <c r="G620" s="117"/>
      <c r="H620" s="118"/>
      <c r="J620" s="119"/>
      <c r="K620" s="35"/>
    </row>
    <row r="621">
      <c r="B621" s="116"/>
      <c r="G621" s="117"/>
      <c r="H621" s="118"/>
      <c r="J621" s="119"/>
      <c r="K621" s="35"/>
    </row>
    <row r="622">
      <c r="B622" s="116"/>
      <c r="G622" s="117"/>
      <c r="H622" s="118"/>
      <c r="J622" s="119"/>
      <c r="K622" s="35"/>
    </row>
    <row r="623">
      <c r="B623" s="116"/>
      <c r="G623" s="117"/>
      <c r="H623" s="118"/>
      <c r="J623" s="119"/>
      <c r="K623" s="35"/>
    </row>
    <row r="624">
      <c r="B624" s="116"/>
      <c r="G624" s="117"/>
      <c r="H624" s="118"/>
      <c r="J624" s="119"/>
      <c r="K624" s="35"/>
    </row>
    <row r="625">
      <c r="B625" s="116"/>
      <c r="G625" s="117"/>
      <c r="H625" s="118"/>
      <c r="J625" s="119"/>
      <c r="K625" s="35"/>
    </row>
    <row r="626">
      <c r="B626" s="116"/>
      <c r="G626" s="117"/>
      <c r="H626" s="118"/>
      <c r="J626" s="119"/>
      <c r="K626" s="35"/>
    </row>
    <row r="627">
      <c r="B627" s="116"/>
      <c r="G627" s="117"/>
      <c r="H627" s="118"/>
      <c r="J627" s="119"/>
      <c r="K627" s="35"/>
    </row>
    <row r="628">
      <c r="B628" s="116"/>
      <c r="G628" s="117"/>
      <c r="H628" s="118"/>
      <c r="J628" s="119"/>
      <c r="K628" s="35"/>
    </row>
    <row r="629">
      <c r="B629" s="116"/>
      <c r="G629" s="117"/>
      <c r="H629" s="118"/>
      <c r="J629" s="119"/>
      <c r="K629" s="35"/>
    </row>
    <row r="630">
      <c r="B630" s="116"/>
      <c r="G630" s="117"/>
      <c r="H630" s="118"/>
      <c r="J630" s="119"/>
      <c r="K630" s="35"/>
    </row>
    <row r="631">
      <c r="B631" s="116"/>
      <c r="G631" s="117"/>
      <c r="H631" s="118"/>
      <c r="J631" s="119"/>
      <c r="K631" s="35"/>
    </row>
    <row r="632">
      <c r="B632" s="116"/>
      <c r="G632" s="117"/>
      <c r="H632" s="118"/>
      <c r="J632" s="119"/>
      <c r="K632" s="35"/>
    </row>
    <row r="633">
      <c r="B633" s="116"/>
      <c r="G633" s="117"/>
      <c r="H633" s="118"/>
      <c r="J633" s="119"/>
      <c r="K633" s="35"/>
    </row>
    <row r="634">
      <c r="B634" s="116"/>
      <c r="G634" s="117"/>
      <c r="H634" s="118"/>
      <c r="J634" s="119"/>
      <c r="K634" s="35"/>
    </row>
    <row r="635">
      <c r="B635" s="116"/>
      <c r="G635" s="117"/>
      <c r="H635" s="118"/>
      <c r="J635" s="119"/>
      <c r="K635" s="35"/>
    </row>
    <row r="636">
      <c r="B636" s="116"/>
      <c r="G636" s="117"/>
      <c r="H636" s="118"/>
      <c r="J636" s="119"/>
      <c r="K636" s="35"/>
    </row>
    <row r="637">
      <c r="B637" s="116"/>
      <c r="G637" s="117"/>
      <c r="H637" s="118"/>
      <c r="J637" s="119"/>
      <c r="K637" s="35"/>
    </row>
    <row r="638">
      <c r="B638" s="116"/>
      <c r="G638" s="117"/>
      <c r="H638" s="118"/>
      <c r="J638" s="119"/>
      <c r="K638" s="35"/>
    </row>
    <row r="639">
      <c r="B639" s="116"/>
      <c r="G639" s="117"/>
      <c r="H639" s="118"/>
      <c r="J639" s="119"/>
      <c r="K639" s="35"/>
    </row>
    <row r="640">
      <c r="B640" s="116"/>
      <c r="G640" s="117"/>
      <c r="H640" s="118"/>
      <c r="J640" s="119"/>
      <c r="K640" s="35"/>
    </row>
    <row r="641">
      <c r="B641" s="116"/>
      <c r="G641" s="117"/>
      <c r="H641" s="118"/>
      <c r="J641" s="119"/>
      <c r="K641" s="35"/>
    </row>
    <row r="642">
      <c r="B642" s="116"/>
      <c r="G642" s="117"/>
      <c r="H642" s="118"/>
      <c r="J642" s="119"/>
      <c r="K642" s="35"/>
    </row>
    <row r="643">
      <c r="B643" s="116"/>
      <c r="G643" s="117"/>
      <c r="H643" s="118"/>
      <c r="J643" s="119"/>
      <c r="K643" s="35"/>
    </row>
    <row r="644">
      <c r="B644" s="116"/>
      <c r="G644" s="117"/>
      <c r="H644" s="118"/>
      <c r="J644" s="119"/>
      <c r="K644" s="35"/>
    </row>
    <row r="645">
      <c r="B645" s="116"/>
      <c r="G645" s="117"/>
      <c r="H645" s="118"/>
      <c r="J645" s="119"/>
      <c r="K645" s="35"/>
    </row>
    <row r="646">
      <c r="B646" s="116"/>
      <c r="G646" s="117"/>
      <c r="H646" s="118"/>
      <c r="J646" s="119"/>
      <c r="K646" s="35"/>
    </row>
    <row r="647">
      <c r="B647" s="116"/>
      <c r="G647" s="117"/>
      <c r="H647" s="118"/>
      <c r="J647" s="119"/>
      <c r="K647" s="35"/>
    </row>
    <row r="648">
      <c r="B648" s="116"/>
      <c r="G648" s="117"/>
      <c r="H648" s="118"/>
      <c r="J648" s="119"/>
      <c r="K648" s="35"/>
    </row>
    <row r="649">
      <c r="B649" s="116"/>
      <c r="G649" s="117"/>
      <c r="H649" s="118"/>
      <c r="J649" s="119"/>
      <c r="K649" s="35"/>
    </row>
    <row r="650">
      <c r="B650" s="116"/>
      <c r="G650" s="117"/>
      <c r="H650" s="118"/>
      <c r="J650" s="119"/>
      <c r="K650" s="35"/>
    </row>
    <row r="651">
      <c r="B651" s="116"/>
      <c r="G651" s="117"/>
      <c r="H651" s="118"/>
      <c r="J651" s="119"/>
      <c r="K651" s="35"/>
    </row>
    <row r="652">
      <c r="B652" s="116"/>
      <c r="G652" s="117"/>
      <c r="H652" s="118"/>
      <c r="J652" s="119"/>
      <c r="K652" s="35"/>
    </row>
    <row r="653">
      <c r="B653" s="116"/>
      <c r="G653" s="117"/>
      <c r="H653" s="118"/>
      <c r="J653" s="119"/>
      <c r="K653" s="35"/>
    </row>
    <row r="654">
      <c r="B654" s="116"/>
      <c r="G654" s="117"/>
      <c r="H654" s="118"/>
      <c r="J654" s="119"/>
      <c r="K654" s="35"/>
    </row>
    <row r="655">
      <c r="B655" s="116"/>
      <c r="G655" s="117"/>
      <c r="H655" s="118"/>
      <c r="J655" s="119"/>
      <c r="K655" s="35"/>
    </row>
    <row r="656">
      <c r="B656" s="116"/>
      <c r="G656" s="117"/>
      <c r="H656" s="118"/>
      <c r="J656" s="119"/>
      <c r="K656" s="35"/>
    </row>
    <row r="657">
      <c r="B657" s="116"/>
      <c r="G657" s="117"/>
      <c r="H657" s="118"/>
      <c r="J657" s="119"/>
      <c r="K657" s="35"/>
    </row>
    <row r="658">
      <c r="B658" s="116"/>
      <c r="G658" s="117"/>
      <c r="H658" s="118"/>
      <c r="J658" s="119"/>
      <c r="K658" s="35"/>
    </row>
    <row r="659">
      <c r="B659" s="116"/>
      <c r="G659" s="117"/>
      <c r="H659" s="118"/>
      <c r="J659" s="119"/>
      <c r="K659" s="35"/>
    </row>
    <row r="660">
      <c r="B660" s="116"/>
      <c r="G660" s="117"/>
      <c r="H660" s="118"/>
      <c r="J660" s="119"/>
      <c r="K660" s="35"/>
    </row>
    <row r="661">
      <c r="B661" s="116"/>
      <c r="G661" s="117"/>
      <c r="H661" s="118"/>
      <c r="J661" s="119"/>
      <c r="K661" s="35"/>
    </row>
    <row r="662">
      <c r="B662" s="116"/>
      <c r="G662" s="117"/>
      <c r="H662" s="118"/>
      <c r="J662" s="119"/>
      <c r="K662" s="35"/>
    </row>
    <row r="663">
      <c r="B663" s="116"/>
      <c r="G663" s="117"/>
      <c r="H663" s="118"/>
      <c r="J663" s="119"/>
      <c r="K663" s="35"/>
    </row>
    <row r="664">
      <c r="B664" s="116"/>
      <c r="G664" s="117"/>
      <c r="H664" s="118"/>
      <c r="J664" s="119"/>
      <c r="K664" s="35"/>
    </row>
    <row r="665">
      <c r="B665" s="116"/>
      <c r="G665" s="117"/>
      <c r="H665" s="118"/>
      <c r="J665" s="119"/>
      <c r="K665" s="35"/>
    </row>
    <row r="666">
      <c r="B666" s="116"/>
      <c r="G666" s="117"/>
      <c r="H666" s="118"/>
      <c r="J666" s="119"/>
      <c r="K666" s="35"/>
    </row>
    <row r="667">
      <c r="B667" s="116"/>
      <c r="G667" s="117"/>
      <c r="H667" s="118"/>
      <c r="J667" s="119"/>
      <c r="K667" s="35"/>
    </row>
    <row r="668">
      <c r="B668" s="116"/>
      <c r="G668" s="117"/>
      <c r="H668" s="118"/>
      <c r="J668" s="119"/>
      <c r="K668" s="35"/>
    </row>
    <row r="669">
      <c r="B669" s="116"/>
      <c r="G669" s="117"/>
      <c r="H669" s="118"/>
      <c r="J669" s="119"/>
      <c r="K669" s="35"/>
    </row>
    <row r="670">
      <c r="B670" s="116"/>
      <c r="G670" s="117"/>
      <c r="H670" s="118"/>
      <c r="J670" s="119"/>
      <c r="K670" s="35"/>
    </row>
    <row r="671">
      <c r="B671" s="116"/>
      <c r="G671" s="117"/>
      <c r="H671" s="118"/>
      <c r="J671" s="119"/>
      <c r="K671" s="35"/>
    </row>
    <row r="672">
      <c r="B672" s="116"/>
      <c r="G672" s="117"/>
      <c r="H672" s="118"/>
      <c r="J672" s="119"/>
      <c r="K672" s="35"/>
    </row>
    <row r="673">
      <c r="B673" s="116"/>
      <c r="G673" s="117"/>
      <c r="H673" s="118"/>
      <c r="J673" s="119"/>
      <c r="K673" s="35"/>
    </row>
    <row r="674">
      <c r="B674" s="116"/>
      <c r="G674" s="117"/>
      <c r="H674" s="118"/>
      <c r="J674" s="119"/>
      <c r="K674" s="35"/>
    </row>
    <row r="675">
      <c r="B675" s="116"/>
      <c r="G675" s="117"/>
      <c r="H675" s="118"/>
      <c r="J675" s="119"/>
      <c r="K675" s="35"/>
    </row>
    <row r="676">
      <c r="B676" s="116"/>
      <c r="G676" s="117"/>
      <c r="H676" s="118"/>
      <c r="J676" s="119"/>
      <c r="K676" s="35"/>
    </row>
    <row r="677">
      <c r="B677" s="116"/>
      <c r="G677" s="117"/>
      <c r="H677" s="118"/>
      <c r="J677" s="119"/>
      <c r="K677" s="35"/>
    </row>
    <row r="678">
      <c r="B678" s="116"/>
      <c r="G678" s="117"/>
      <c r="H678" s="118"/>
      <c r="J678" s="119"/>
      <c r="K678" s="35"/>
    </row>
    <row r="679">
      <c r="B679" s="116"/>
      <c r="G679" s="117"/>
      <c r="H679" s="118"/>
      <c r="J679" s="119"/>
      <c r="K679" s="35"/>
    </row>
    <row r="680">
      <c r="B680" s="116"/>
      <c r="G680" s="117"/>
      <c r="H680" s="118"/>
      <c r="J680" s="119"/>
      <c r="K680" s="35"/>
    </row>
    <row r="681">
      <c r="B681" s="116"/>
      <c r="G681" s="117"/>
      <c r="H681" s="118"/>
      <c r="J681" s="119"/>
      <c r="K681" s="35"/>
    </row>
    <row r="682">
      <c r="B682" s="116"/>
      <c r="G682" s="117"/>
      <c r="H682" s="118"/>
      <c r="J682" s="119"/>
      <c r="K682" s="35"/>
    </row>
    <row r="683">
      <c r="B683" s="116"/>
      <c r="G683" s="117"/>
      <c r="H683" s="118"/>
      <c r="J683" s="119"/>
      <c r="K683" s="35"/>
    </row>
    <row r="684">
      <c r="B684" s="116"/>
      <c r="G684" s="117"/>
      <c r="H684" s="118"/>
      <c r="J684" s="119"/>
      <c r="K684" s="35"/>
    </row>
    <row r="685">
      <c r="B685" s="116"/>
      <c r="G685" s="117"/>
      <c r="H685" s="118"/>
      <c r="J685" s="119"/>
      <c r="K685" s="35"/>
    </row>
    <row r="686">
      <c r="B686" s="116"/>
      <c r="G686" s="117"/>
      <c r="H686" s="118"/>
      <c r="J686" s="119"/>
      <c r="K686" s="35"/>
    </row>
    <row r="687">
      <c r="B687" s="116"/>
      <c r="G687" s="117"/>
      <c r="H687" s="118"/>
      <c r="J687" s="119"/>
      <c r="K687" s="35"/>
    </row>
    <row r="688">
      <c r="B688" s="116"/>
      <c r="G688" s="117"/>
      <c r="H688" s="118"/>
      <c r="J688" s="119"/>
      <c r="K688" s="35"/>
    </row>
    <row r="689">
      <c r="B689" s="116"/>
      <c r="G689" s="117"/>
      <c r="H689" s="118"/>
      <c r="J689" s="119"/>
      <c r="K689" s="35"/>
    </row>
    <row r="690">
      <c r="B690" s="116"/>
      <c r="G690" s="117"/>
      <c r="H690" s="118"/>
      <c r="J690" s="119"/>
      <c r="K690" s="35"/>
    </row>
    <row r="691">
      <c r="B691" s="116"/>
      <c r="G691" s="117"/>
      <c r="H691" s="118"/>
      <c r="J691" s="119"/>
      <c r="K691" s="35"/>
    </row>
    <row r="692">
      <c r="B692" s="116"/>
      <c r="G692" s="117"/>
      <c r="H692" s="118"/>
      <c r="J692" s="119"/>
      <c r="K692" s="35"/>
    </row>
    <row r="693">
      <c r="B693" s="116"/>
      <c r="G693" s="117"/>
      <c r="H693" s="118"/>
      <c r="J693" s="119"/>
      <c r="K693" s="35"/>
    </row>
    <row r="694">
      <c r="B694" s="116"/>
      <c r="G694" s="117"/>
      <c r="H694" s="118"/>
      <c r="J694" s="119"/>
      <c r="K694" s="35"/>
    </row>
    <row r="695">
      <c r="B695" s="116"/>
      <c r="G695" s="117"/>
      <c r="H695" s="118"/>
      <c r="J695" s="119"/>
      <c r="K695" s="35"/>
    </row>
    <row r="696">
      <c r="B696" s="116"/>
      <c r="G696" s="117"/>
      <c r="H696" s="118"/>
      <c r="J696" s="119"/>
      <c r="K696" s="35"/>
    </row>
    <row r="697">
      <c r="B697" s="116"/>
      <c r="G697" s="117"/>
      <c r="H697" s="118"/>
      <c r="J697" s="119"/>
      <c r="K697" s="35"/>
    </row>
    <row r="698">
      <c r="B698" s="116"/>
      <c r="G698" s="117"/>
      <c r="H698" s="118"/>
      <c r="J698" s="119"/>
      <c r="K698" s="35"/>
    </row>
    <row r="699">
      <c r="B699" s="116"/>
      <c r="G699" s="117"/>
      <c r="H699" s="118"/>
      <c r="J699" s="119"/>
      <c r="K699" s="35"/>
    </row>
    <row r="700">
      <c r="B700" s="116"/>
      <c r="G700" s="117"/>
      <c r="H700" s="118"/>
      <c r="J700" s="119"/>
      <c r="K700" s="35"/>
    </row>
    <row r="701">
      <c r="B701" s="116"/>
      <c r="G701" s="117"/>
      <c r="H701" s="118"/>
      <c r="J701" s="119"/>
      <c r="K701" s="35"/>
    </row>
    <row r="702">
      <c r="B702" s="116"/>
      <c r="G702" s="117"/>
      <c r="H702" s="118"/>
      <c r="J702" s="119"/>
      <c r="K702" s="35"/>
    </row>
    <row r="703">
      <c r="B703" s="116"/>
      <c r="G703" s="117"/>
      <c r="H703" s="118"/>
      <c r="J703" s="119"/>
      <c r="K703" s="35"/>
    </row>
    <row r="704">
      <c r="B704" s="116"/>
      <c r="G704" s="117"/>
      <c r="H704" s="118"/>
      <c r="J704" s="119"/>
      <c r="K704" s="35"/>
    </row>
    <row r="705">
      <c r="B705" s="116"/>
      <c r="G705" s="117"/>
      <c r="H705" s="118"/>
      <c r="J705" s="119"/>
      <c r="K705" s="35"/>
    </row>
    <row r="706">
      <c r="B706" s="116"/>
      <c r="G706" s="117"/>
      <c r="H706" s="118"/>
      <c r="J706" s="119"/>
      <c r="K706" s="35"/>
    </row>
    <row r="707">
      <c r="B707" s="116"/>
      <c r="G707" s="117"/>
      <c r="H707" s="118"/>
      <c r="J707" s="119"/>
      <c r="K707" s="35"/>
    </row>
    <row r="708">
      <c r="B708" s="116"/>
      <c r="G708" s="117"/>
      <c r="H708" s="118"/>
      <c r="J708" s="119"/>
      <c r="K708" s="35"/>
    </row>
    <row r="709">
      <c r="B709" s="116"/>
      <c r="G709" s="117"/>
      <c r="H709" s="118"/>
      <c r="J709" s="119"/>
      <c r="K709" s="35"/>
    </row>
    <row r="710">
      <c r="B710" s="116"/>
      <c r="G710" s="117"/>
      <c r="H710" s="118"/>
      <c r="J710" s="119"/>
      <c r="K710" s="35"/>
    </row>
    <row r="711">
      <c r="B711" s="116"/>
      <c r="G711" s="117"/>
      <c r="H711" s="118"/>
      <c r="J711" s="119"/>
      <c r="K711" s="35"/>
    </row>
    <row r="712">
      <c r="B712" s="116"/>
      <c r="G712" s="117"/>
      <c r="H712" s="118"/>
      <c r="J712" s="119"/>
      <c r="K712" s="35"/>
    </row>
    <row r="713">
      <c r="B713" s="116"/>
      <c r="G713" s="117"/>
      <c r="H713" s="118"/>
      <c r="J713" s="119"/>
      <c r="K713" s="35"/>
    </row>
    <row r="714">
      <c r="B714" s="116"/>
      <c r="G714" s="117"/>
      <c r="H714" s="118"/>
      <c r="J714" s="119"/>
      <c r="K714" s="35"/>
    </row>
    <row r="715">
      <c r="B715" s="116"/>
      <c r="G715" s="117"/>
      <c r="H715" s="118"/>
      <c r="J715" s="119"/>
      <c r="K715" s="35"/>
    </row>
    <row r="716">
      <c r="B716" s="116"/>
      <c r="G716" s="117"/>
      <c r="H716" s="118"/>
      <c r="J716" s="119"/>
      <c r="K716" s="35"/>
    </row>
    <row r="717">
      <c r="B717" s="116"/>
      <c r="G717" s="117"/>
      <c r="H717" s="118"/>
      <c r="J717" s="119"/>
      <c r="K717" s="35"/>
    </row>
    <row r="718">
      <c r="B718" s="116"/>
      <c r="G718" s="117"/>
      <c r="H718" s="118"/>
      <c r="J718" s="119"/>
      <c r="K718" s="35"/>
    </row>
    <row r="719">
      <c r="B719" s="116"/>
      <c r="G719" s="117"/>
      <c r="H719" s="118"/>
      <c r="J719" s="119"/>
      <c r="K719" s="35"/>
    </row>
    <row r="720">
      <c r="B720" s="116"/>
      <c r="G720" s="117"/>
      <c r="H720" s="118"/>
      <c r="J720" s="119"/>
      <c r="K720" s="35"/>
    </row>
    <row r="721">
      <c r="B721" s="116"/>
      <c r="G721" s="117"/>
      <c r="H721" s="118"/>
      <c r="J721" s="119"/>
      <c r="K721" s="35"/>
    </row>
    <row r="722">
      <c r="B722" s="116"/>
      <c r="G722" s="117"/>
      <c r="H722" s="118"/>
      <c r="J722" s="119"/>
      <c r="K722" s="35"/>
    </row>
    <row r="723">
      <c r="B723" s="116"/>
      <c r="G723" s="117"/>
      <c r="H723" s="118"/>
      <c r="J723" s="119"/>
      <c r="K723" s="35"/>
    </row>
    <row r="724">
      <c r="B724" s="116"/>
      <c r="G724" s="117"/>
      <c r="H724" s="118"/>
      <c r="J724" s="119"/>
      <c r="K724" s="35"/>
    </row>
    <row r="725">
      <c r="B725" s="116"/>
      <c r="G725" s="117"/>
      <c r="H725" s="118"/>
      <c r="J725" s="119"/>
      <c r="K725" s="35"/>
    </row>
    <row r="726">
      <c r="B726" s="116"/>
      <c r="G726" s="117"/>
      <c r="H726" s="118"/>
      <c r="J726" s="119"/>
      <c r="K726" s="35"/>
    </row>
    <row r="727">
      <c r="B727" s="116"/>
      <c r="G727" s="117"/>
      <c r="H727" s="118"/>
      <c r="J727" s="119"/>
      <c r="K727" s="35"/>
    </row>
    <row r="728">
      <c r="B728" s="116"/>
      <c r="G728" s="117"/>
      <c r="H728" s="118"/>
      <c r="J728" s="119"/>
      <c r="K728" s="35"/>
    </row>
    <row r="729">
      <c r="B729" s="116"/>
      <c r="G729" s="117"/>
      <c r="H729" s="118"/>
      <c r="J729" s="119"/>
      <c r="K729" s="35"/>
    </row>
    <row r="730">
      <c r="B730" s="116"/>
      <c r="G730" s="117"/>
      <c r="H730" s="118"/>
      <c r="J730" s="119"/>
      <c r="K730" s="35"/>
    </row>
    <row r="731">
      <c r="B731" s="116"/>
      <c r="G731" s="117"/>
      <c r="H731" s="118"/>
      <c r="J731" s="119"/>
      <c r="K731" s="35"/>
    </row>
    <row r="732">
      <c r="B732" s="116"/>
      <c r="G732" s="117"/>
      <c r="H732" s="118"/>
      <c r="J732" s="119"/>
      <c r="K732" s="35"/>
    </row>
    <row r="733">
      <c r="B733" s="116"/>
      <c r="G733" s="117"/>
      <c r="H733" s="118"/>
      <c r="J733" s="119"/>
      <c r="K733" s="35"/>
    </row>
    <row r="734">
      <c r="B734" s="116"/>
      <c r="G734" s="117"/>
      <c r="H734" s="118"/>
      <c r="J734" s="119"/>
      <c r="K734" s="35"/>
    </row>
    <row r="735">
      <c r="B735" s="116"/>
      <c r="G735" s="117"/>
      <c r="H735" s="118"/>
      <c r="J735" s="119"/>
      <c r="K735" s="35"/>
    </row>
    <row r="736">
      <c r="B736" s="116"/>
      <c r="G736" s="117"/>
      <c r="H736" s="118"/>
      <c r="J736" s="119"/>
      <c r="K736" s="35"/>
    </row>
    <row r="737">
      <c r="B737" s="116"/>
      <c r="G737" s="117"/>
      <c r="H737" s="118"/>
      <c r="J737" s="119"/>
      <c r="K737" s="35"/>
    </row>
    <row r="738">
      <c r="B738" s="116"/>
      <c r="G738" s="117"/>
      <c r="H738" s="118"/>
      <c r="J738" s="119"/>
      <c r="K738" s="35"/>
    </row>
    <row r="739">
      <c r="B739" s="116"/>
      <c r="G739" s="117"/>
      <c r="H739" s="118"/>
      <c r="J739" s="119"/>
      <c r="K739" s="35"/>
    </row>
    <row r="740">
      <c r="B740" s="116"/>
      <c r="G740" s="117"/>
      <c r="H740" s="118"/>
      <c r="J740" s="119"/>
      <c r="K740" s="35"/>
    </row>
    <row r="741">
      <c r="B741" s="116"/>
      <c r="G741" s="117"/>
      <c r="H741" s="118"/>
      <c r="J741" s="119"/>
      <c r="K741" s="35"/>
    </row>
    <row r="742">
      <c r="B742" s="116"/>
      <c r="G742" s="117"/>
      <c r="H742" s="118"/>
      <c r="J742" s="119"/>
      <c r="K742" s="35"/>
    </row>
    <row r="743">
      <c r="B743" s="116"/>
      <c r="G743" s="117"/>
      <c r="H743" s="118"/>
      <c r="J743" s="119"/>
      <c r="K743" s="35"/>
    </row>
    <row r="744">
      <c r="B744" s="116"/>
      <c r="G744" s="117"/>
      <c r="H744" s="118"/>
      <c r="J744" s="119"/>
      <c r="K744" s="35"/>
    </row>
    <row r="745">
      <c r="B745" s="116"/>
      <c r="G745" s="117"/>
      <c r="H745" s="118"/>
      <c r="J745" s="119"/>
      <c r="K745" s="35"/>
    </row>
    <row r="746">
      <c r="B746" s="116"/>
      <c r="G746" s="117"/>
      <c r="H746" s="118"/>
      <c r="J746" s="119"/>
      <c r="K746" s="35"/>
    </row>
    <row r="747">
      <c r="B747" s="116"/>
      <c r="G747" s="117"/>
      <c r="H747" s="118"/>
      <c r="J747" s="119"/>
      <c r="K747" s="35"/>
    </row>
    <row r="748">
      <c r="B748" s="116"/>
      <c r="G748" s="117"/>
      <c r="H748" s="118"/>
      <c r="J748" s="119"/>
      <c r="K748" s="35"/>
    </row>
    <row r="749">
      <c r="B749" s="116"/>
      <c r="G749" s="117"/>
      <c r="H749" s="118"/>
      <c r="J749" s="119"/>
      <c r="K749" s="35"/>
    </row>
    <row r="750">
      <c r="B750" s="116"/>
      <c r="G750" s="117"/>
      <c r="H750" s="118"/>
      <c r="J750" s="119"/>
      <c r="K750" s="35"/>
    </row>
    <row r="751">
      <c r="B751" s="116"/>
      <c r="G751" s="117"/>
      <c r="H751" s="118"/>
      <c r="J751" s="119"/>
      <c r="K751" s="35"/>
    </row>
    <row r="752">
      <c r="B752" s="116"/>
      <c r="G752" s="117"/>
      <c r="H752" s="118"/>
      <c r="J752" s="119"/>
      <c r="K752" s="35"/>
    </row>
    <row r="753">
      <c r="B753" s="116"/>
      <c r="G753" s="117"/>
      <c r="H753" s="118"/>
      <c r="J753" s="119"/>
      <c r="K753" s="35"/>
    </row>
    <row r="754">
      <c r="B754" s="116"/>
      <c r="G754" s="117"/>
      <c r="H754" s="118"/>
      <c r="J754" s="119"/>
      <c r="K754" s="35"/>
    </row>
    <row r="755">
      <c r="B755" s="116"/>
      <c r="G755" s="117"/>
      <c r="H755" s="118"/>
      <c r="J755" s="119"/>
      <c r="K755" s="35"/>
    </row>
    <row r="756">
      <c r="B756" s="116"/>
      <c r="G756" s="117"/>
      <c r="H756" s="118"/>
      <c r="J756" s="119"/>
      <c r="K756" s="35"/>
    </row>
    <row r="757">
      <c r="B757" s="116"/>
      <c r="G757" s="117"/>
      <c r="H757" s="118"/>
      <c r="J757" s="119"/>
      <c r="K757" s="35"/>
    </row>
    <row r="758">
      <c r="B758" s="116"/>
      <c r="G758" s="117"/>
      <c r="H758" s="118"/>
      <c r="J758" s="119"/>
      <c r="K758" s="35"/>
    </row>
    <row r="759">
      <c r="B759" s="116"/>
      <c r="G759" s="117"/>
      <c r="H759" s="118"/>
      <c r="J759" s="119"/>
      <c r="K759" s="35"/>
    </row>
    <row r="760">
      <c r="B760" s="116"/>
      <c r="G760" s="117"/>
      <c r="H760" s="118"/>
      <c r="J760" s="119"/>
      <c r="K760" s="35"/>
    </row>
    <row r="761">
      <c r="B761" s="116"/>
      <c r="G761" s="117"/>
      <c r="H761" s="118"/>
      <c r="J761" s="119"/>
      <c r="K761" s="35"/>
    </row>
    <row r="762">
      <c r="B762" s="116"/>
      <c r="G762" s="117"/>
      <c r="H762" s="118"/>
      <c r="J762" s="119"/>
      <c r="K762" s="35"/>
    </row>
    <row r="763">
      <c r="B763" s="116"/>
      <c r="G763" s="117"/>
      <c r="H763" s="118"/>
      <c r="J763" s="119"/>
      <c r="K763" s="35"/>
    </row>
    <row r="764">
      <c r="B764" s="116"/>
      <c r="G764" s="117"/>
      <c r="H764" s="118"/>
      <c r="J764" s="119"/>
      <c r="K764" s="35"/>
    </row>
    <row r="765">
      <c r="B765" s="116"/>
      <c r="G765" s="117"/>
      <c r="H765" s="118"/>
      <c r="J765" s="119"/>
      <c r="K765" s="35"/>
    </row>
    <row r="766">
      <c r="B766" s="116"/>
      <c r="G766" s="117"/>
      <c r="H766" s="118"/>
      <c r="J766" s="119"/>
      <c r="K766" s="35"/>
    </row>
    <row r="767">
      <c r="B767" s="116"/>
      <c r="G767" s="117"/>
      <c r="H767" s="118"/>
      <c r="J767" s="119"/>
      <c r="K767" s="35"/>
    </row>
    <row r="768">
      <c r="B768" s="116"/>
      <c r="G768" s="117"/>
      <c r="H768" s="118"/>
      <c r="J768" s="119"/>
      <c r="K768" s="35"/>
    </row>
    <row r="769">
      <c r="B769" s="116"/>
      <c r="G769" s="117"/>
      <c r="H769" s="118"/>
      <c r="J769" s="119"/>
      <c r="K769" s="35"/>
    </row>
    <row r="770">
      <c r="B770" s="116"/>
      <c r="G770" s="117"/>
      <c r="H770" s="118"/>
      <c r="J770" s="119"/>
      <c r="K770" s="35"/>
    </row>
    <row r="771">
      <c r="B771" s="116"/>
      <c r="G771" s="117"/>
      <c r="H771" s="118"/>
      <c r="J771" s="119"/>
      <c r="K771" s="35"/>
    </row>
    <row r="772">
      <c r="B772" s="116"/>
      <c r="G772" s="117"/>
      <c r="H772" s="118"/>
      <c r="J772" s="119"/>
      <c r="K772" s="35"/>
    </row>
    <row r="773">
      <c r="B773" s="116"/>
      <c r="G773" s="117"/>
      <c r="H773" s="118"/>
      <c r="J773" s="119"/>
      <c r="K773" s="35"/>
    </row>
    <row r="774">
      <c r="B774" s="116"/>
      <c r="G774" s="117"/>
      <c r="H774" s="118"/>
      <c r="J774" s="119"/>
      <c r="K774" s="35"/>
    </row>
    <row r="775">
      <c r="B775" s="116"/>
      <c r="G775" s="117"/>
      <c r="H775" s="118"/>
      <c r="J775" s="119"/>
      <c r="K775" s="35"/>
    </row>
    <row r="776">
      <c r="B776" s="116"/>
      <c r="G776" s="117"/>
      <c r="H776" s="118"/>
      <c r="J776" s="119"/>
      <c r="K776" s="35"/>
    </row>
    <row r="777">
      <c r="B777" s="116"/>
      <c r="G777" s="117"/>
      <c r="H777" s="118"/>
      <c r="J777" s="119"/>
      <c r="K777" s="35"/>
    </row>
    <row r="778">
      <c r="B778" s="116"/>
      <c r="G778" s="117"/>
      <c r="H778" s="118"/>
      <c r="J778" s="119"/>
      <c r="K778" s="35"/>
    </row>
    <row r="779">
      <c r="B779" s="116"/>
      <c r="G779" s="117"/>
      <c r="H779" s="118"/>
      <c r="J779" s="119"/>
      <c r="K779" s="35"/>
    </row>
    <row r="780">
      <c r="B780" s="116"/>
      <c r="G780" s="117"/>
      <c r="H780" s="118"/>
      <c r="J780" s="119"/>
      <c r="K780" s="35"/>
    </row>
    <row r="781">
      <c r="B781" s="116"/>
      <c r="G781" s="117"/>
      <c r="H781" s="118"/>
      <c r="J781" s="119"/>
      <c r="K781" s="35"/>
    </row>
    <row r="782">
      <c r="B782" s="116"/>
      <c r="G782" s="117"/>
      <c r="H782" s="118"/>
      <c r="J782" s="119"/>
      <c r="K782" s="35"/>
    </row>
    <row r="783">
      <c r="B783" s="116"/>
      <c r="G783" s="117"/>
      <c r="H783" s="118"/>
      <c r="J783" s="119"/>
      <c r="K783" s="35"/>
    </row>
    <row r="784">
      <c r="B784" s="116"/>
      <c r="G784" s="117"/>
      <c r="H784" s="118"/>
      <c r="J784" s="119"/>
      <c r="K784" s="35"/>
    </row>
    <row r="785">
      <c r="B785" s="116"/>
      <c r="G785" s="117"/>
      <c r="H785" s="118"/>
      <c r="J785" s="119"/>
      <c r="K785" s="35"/>
    </row>
    <row r="786">
      <c r="B786" s="116"/>
      <c r="G786" s="117"/>
      <c r="H786" s="118"/>
      <c r="J786" s="119"/>
      <c r="K786" s="35"/>
    </row>
    <row r="787">
      <c r="B787" s="116"/>
      <c r="G787" s="117"/>
      <c r="H787" s="118"/>
      <c r="J787" s="119"/>
      <c r="K787" s="35"/>
    </row>
    <row r="788">
      <c r="B788" s="116"/>
      <c r="G788" s="117"/>
      <c r="H788" s="118"/>
      <c r="J788" s="119"/>
      <c r="K788" s="35"/>
    </row>
    <row r="789">
      <c r="B789" s="116"/>
      <c r="G789" s="117"/>
      <c r="H789" s="118"/>
      <c r="J789" s="119"/>
      <c r="K789" s="35"/>
    </row>
    <row r="790">
      <c r="B790" s="116"/>
      <c r="G790" s="117"/>
      <c r="H790" s="118"/>
      <c r="J790" s="119"/>
      <c r="K790" s="35"/>
    </row>
    <row r="791">
      <c r="B791" s="116"/>
      <c r="G791" s="117"/>
      <c r="H791" s="118"/>
      <c r="J791" s="119"/>
      <c r="K791" s="35"/>
    </row>
    <row r="792">
      <c r="B792" s="116"/>
      <c r="G792" s="117"/>
      <c r="H792" s="118"/>
      <c r="J792" s="119"/>
      <c r="K792" s="35"/>
    </row>
    <row r="793">
      <c r="B793" s="116"/>
      <c r="G793" s="117"/>
      <c r="H793" s="118"/>
      <c r="J793" s="119"/>
      <c r="K793" s="35"/>
    </row>
    <row r="794">
      <c r="B794" s="116"/>
      <c r="G794" s="117"/>
      <c r="H794" s="118"/>
      <c r="J794" s="119"/>
      <c r="K794" s="35"/>
    </row>
    <row r="795">
      <c r="B795" s="116"/>
      <c r="G795" s="117"/>
      <c r="H795" s="118"/>
      <c r="J795" s="119"/>
      <c r="K795" s="35"/>
    </row>
    <row r="796">
      <c r="B796" s="116"/>
      <c r="G796" s="117"/>
      <c r="H796" s="118"/>
      <c r="J796" s="119"/>
      <c r="K796" s="35"/>
    </row>
    <row r="797">
      <c r="B797" s="116"/>
      <c r="G797" s="117"/>
      <c r="H797" s="118"/>
      <c r="J797" s="119"/>
      <c r="K797" s="35"/>
    </row>
    <row r="798">
      <c r="B798" s="116"/>
      <c r="G798" s="117"/>
      <c r="H798" s="118"/>
      <c r="J798" s="119"/>
      <c r="K798" s="35"/>
    </row>
    <row r="799">
      <c r="B799" s="116"/>
      <c r="G799" s="117"/>
      <c r="H799" s="118"/>
      <c r="J799" s="119"/>
      <c r="K799" s="35"/>
    </row>
    <row r="800">
      <c r="B800" s="116"/>
      <c r="G800" s="117"/>
      <c r="H800" s="118"/>
      <c r="J800" s="119"/>
      <c r="K800" s="35"/>
    </row>
    <row r="801">
      <c r="B801" s="116"/>
      <c r="G801" s="117"/>
      <c r="H801" s="118"/>
      <c r="J801" s="119"/>
      <c r="K801" s="35"/>
    </row>
    <row r="802">
      <c r="B802" s="116"/>
      <c r="G802" s="117"/>
      <c r="H802" s="118"/>
      <c r="J802" s="119"/>
      <c r="K802" s="35"/>
    </row>
    <row r="803">
      <c r="B803" s="116"/>
      <c r="G803" s="117"/>
      <c r="H803" s="118"/>
      <c r="J803" s="119"/>
      <c r="K803" s="35"/>
    </row>
    <row r="804">
      <c r="B804" s="116"/>
      <c r="G804" s="117"/>
      <c r="H804" s="118"/>
      <c r="J804" s="119"/>
      <c r="K804" s="35"/>
    </row>
    <row r="805">
      <c r="B805" s="116"/>
      <c r="G805" s="117"/>
      <c r="H805" s="118"/>
      <c r="J805" s="119"/>
      <c r="K805" s="35"/>
    </row>
    <row r="806">
      <c r="B806" s="116"/>
      <c r="G806" s="117"/>
      <c r="H806" s="118"/>
      <c r="J806" s="119"/>
      <c r="K806" s="35"/>
    </row>
    <row r="807">
      <c r="B807" s="116"/>
      <c r="G807" s="117"/>
      <c r="H807" s="118"/>
      <c r="J807" s="119"/>
      <c r="K807" s="35"/>
    </row>
    <row r="808">
      <c r="B808" s="116"/>
      <c r="G808" s="117"/>
      <c r="H808" s="118"/>
      <c r="J808" s="119"/>
      <c r="K808" s="35"/>
    </row>
    <row r="809">
      <c r="B809" s="116"/>
      <c r="G809" s="117"/>
      <c r="H809" s="118"/>
      <c r="J809" s="119"/>
      <c r="K809" s="35"/>
    </row>
    <row r="810">
      <c r="B810" s="116"/>
      <c r="G810" s="117"/>
      <c r="H810" s="118"/>
      <c r="J810" s="119"/>
      <c r="K810" s="35"/>
    </row>
    <row r="811">
      <c r="B811" s="116"/>
      <c r="G811" s="117"/>
      <c r="H811" s="118"/>
      <c r="J811" s="119"/>
      <c r="K811" s="35"/>
    </row>
    <row r="812">
      <c r="B812" s="116"/>
      <c r="G812" s="117"/>
      <c r="H812" s="118"/>
      <c r="J812" s="119"/>
      <c r="K812" s="35"/>
    </row>
    <row r="813">
      <c r="B813" s="116"/>
      <c r="G813" s="117"/>
      <c r="H813" s="118"/>
      <c r="J813" s="119"/>
      <c r="K813" s="35"/>
    </row>
    <row r="814">
      <c r="B814" s="116"/>
      <c r="G814" s="117"/>
      <c r="H814" s="118"/>
      <c r="J814" s="119"/>
      <c r="K814" s="35"/>
    </row>
    <row r="815">
      <c r="B815" s="116"/>
      <c r="G815" s="117"/>
      <c r="H815" s="118"/>
      <c r="J815" s="119"/>
      <c r="K815" s="35"/>
    </row>
    <row r="816">
      <c r="B816" s="116"/>
      <c r="G816" s="117"/>
      <c r="H816" s="118"/>
      <c r="J816" s="119"/>
      <c r="K816" s="35"/>
    </row>
    <row r="817">
      <c r="B817" s="116"/>
      <c r="G817" s="117"/>
      <c r="H817" s="118"/>
      <c r="J817" s="119"/>
      <c r="K817" s="35"/>
    </row>
    <row r="818">
      <c r="B818" s="116"/>
      <c r="G818" s="117"/>
      <c r="H818" s="118"/>
      <c r="J818" s="119"/>
      <c r="K818" s="35"/>
    </row>
    <row r="819">
      <c r="B819" s="116"/>
      <c r="G819" s="117"/>
      <c r="H819" s="118"/>
      <c r="J819" s="119"/>
      <c r="K819" s="35"/>
    </row>
    <row r="820">
      <c r="B820" s="116"/>
      <c r="G820" s="117"/>
      <c r="H820" s="118"/>
      <c r="J820" s="119"/>
      <c r="K820" s="35"/>
    </row>
    <row r="821">
      <c r="B821" s="116"/>
      <c r="G821" s="117"/>
      <c r="H821" s="118"/>
      <c r="J821" s="119"/>
      <c r="K821" s="35"/>
    </row>
    <row r="822">
      <c r="B822" s="116"/>
      <c r="G822" s="117"/>
      <c r="H822" s="118"/>
      <c r="J822" s="119"/>
      <c r="K822" s="35"/>
    </row>
    <row r="823">
      <c r="B823" s="116"/>
      <c r="G823" s="117"/>
      <c r="H823" s="118"/>
      <c r="J823" s="119"/>
      <c r="K823" s="35"/>
    </row>
    <row r="824">
      <c r="B824" s="116"/>
      <c r="G824" s="117"/>
      <c r="H824" s="118"/>
      <c r="J824" s="119"/>
      <c r="K824" s="35"/>
    </row>
    <row r="825">
      <c r="B825" s="116"/>
      <c r="G825" s="117"/>
      <c r="H825" s="118"/>
      <c r="J825" s="119"/>
      <c r="K825" s="35"/>
    </row>
    <row r="826">
      <c r="B826" s="116"/>
      <c r="G826" s="117"/>
      <c r="H826" s="118"/>
      <c r="J826" s="119"/>
      <c r="K826" s="35"/>
    </row>
    <row r="827">
      <c r="B827" s="116"/>
      <c r="G827" s="117"/>
      <c r="H827" s="118"/>
      <c r="J827" s="119"/>
      <c r="K827" s="35"/>
    </row>
    <row r="828">
      <c r="B828" s="116"/>
      <c r="G828" s="117"/>
      <c r="H828" s="118"/>
      <c r="J828" s="119"/>
      <c r="K828" s="35"/>
    </row>
    <row r="829">
      <c r="B829" s="116"/>
      <c r="G829" s="117"/>
      <c r="H829" s="118"/>
      <c r="J829" s="119"/>
      <c r="K829" s="35"/>
    </row>
    <row r="830">
      <c r="B830" s="116"/>
      <c r="G830" s="117"/>
      <c r="H830" s="118"/>
      <c r="J830" s="119"/>
      <c r="K830" s="35"/>
    </row>
    <row r="831">
      <c r="B831" s="116"/>
      <c r="G831" s="117"/>
      <c r="H831" s="118"/>
      <c r="J831" s="119"/>
      <c r="K831" s="35"/>
    </row>
    <row r="832">
      <c r="B832" s="116"/>
      <c r="G832" s="117"/>
      <c r="H832" s="118"/>
      <c r="J832" s="119"/>
      <c r="K832" s="35"/>
    </row>
    <row r="833">
      <c r="B833" s="116"/>
      <c r="G833" s="117"/>
      <c r="H833" s="118"/>
      <c r="J833" s="119"/>
      <c r="K833" s="35"/>
    </row>
    <row r="834">
      <c r="B834" s="116"/>
      <c r="G834" s="117"/>
      <c r="H834" s="118"/>
      <c r="J834" s="119"/>
      <c r="K834" s="35"/>
    </row>
    <row r="835">
      <c r="B835" s="116"/>
      <c r="G835" s="117"/>
      <c r="H835" s="118"/>
      <c r="J835" s="119"/>
      <c r="K835" s="35"/>
    </row>
    <row r="836">
      <c r="B836" s="116"/>
      <c r="G836" s="117"/>
      <c r="H836" s="118"/>
      <c r="J836" s="119"/>
      <c r="K836" s="35"/>
    </row>
    <row r="837">
      <c r="B837" s="116"/>
      <c r="G837" s="117"/>
      <c r="H837" s="118"/>
      <c r="J837" s="119"/>
      <c r="K837" s="35"/>
    </row>
    <row r="838">
      <c r="B838" s="116"/>
      <c r="G838" s="117"/>
      <c r="H838" s="118"/>
      <c r="J838" s="119"/>
      <c r="K838" s="35"/>
    </row>
    <row r="839">
      <c r="B839" s="116"/>
      <c r="G839" s="117"/>
      <c r="H839" s="118"/>
      <c r="J839" s="119"/>
      <c r="K839" s="35"/>
    </row>
    <row r="840">
      <c r="B840" s="116"/>
      <c r="G840" s="117"/>
      <c r="H840" s="118"/>
      <c r="J840" s="119"/>
      <c r="K840" s="35"/>
    </row>
    <row r="841">
      <c r="B841" s="116"/>
      <c r="G841" s="117"/>
      <c r="H841" s="118"/>
      <c r="J841" s="119"/>
      <c r="K841" s="35"/>
    </row>
    <row r="842">
      <c r="B842" s="116"/>
      <c r="G842" s="117"/>
      <c r="H842" s="118"/>
      <c r="J842" s="119"/>
      <c r="K842" s="35"/>
    </row>
    <row r="843">
      <c r="B843" s="116"/>
      <c r="G843" s="117"/>
      <c r="H843" s="118"/>
      <c r="J843" s="119"/>
      <c r="K843" s="35"/>
    </row>
    <row r="844">
      <c r="B844" s="116"/>
      <c r="G844" s="117"/>
      <c r="H844" s="118"/>
      <c r="J844" s="119"/>
      <c r="K844" s="35"/>
    </row>
    <row r="845">
      <c r="B845" s="116"/>
      <c r="G845" s="117"/>
      <c r="H845" s="118"/>
      <c r="J845" s="119"/>
      <c r="K845" s="35"/>
    </row>
    <row r="846">
      <c r="B846" s="116"/>
      <c r="G846" s="117"/>
      <c r="H846" s="118"/>
      <c r="J846" s="119"/>
      <c r="K846" s="35"/>
    </row>
    <row r="847">
      <c r="B847" s="116"/>
      <c r="G847" s="117"/>
      <c r="H847" s="118"/>
      <c r="J847" s="119"/>
      <c r="K847" s="35"/>
    </row>
    <row r="848">
      <c r="B848" s="116"/>
      <c r="G848" s="117"/>
      <c r="H848" s="118"/>
      <c r="J848" s="119"/>
      <c r="K848" s="35"/>
    </row>
    <row r="849">
      <c r="B849" s="116"/>
      <c r="G849" s="117"/>
      <c r="H849" s="118"/>
      <c r="J849" s="119"/>
      <c r="K849" s="35"/>
    </row>
    <row r="850">
      <c r="B850" s="116"/>
      <c r="G850" s="117"/>
      <c r="H850" s="118"/>
      <c r="J850" s="119"/>
      <c r="K850" s="35"/>
    </row>
    <row r="851">
      <c r="B851" s="116"/>
      <c r="G851" s="117"/>
      <c r="H851" s="118"/>
      <c r="J851" s="119"/>
      <c r="K851" s="35"/>
    </row>
    <row r="852">
      <c r="B852" s="116"/>
      <c r="G852" s="117"/>
      <c r="H852" s="118"/>
      <c r="J852" s="119"/>
      <c r="K852" s="35"/>
    </row>
    <row r="853">
      <c r="B853" s="116"/>
      <c r="G853" s="117"/>
      <c r="H853" s="118"/>
      <c r="J853" s="119"/>
      <c r="K853" s="35"/>
    </row>
    <row r="854">
      <c r="B854" s="116"/>
      <c r="G854" s="117"/>
      <c r="H854" s="118"/>
      <c r="J854" s="119"/>
      <c r="K854" s="35"/>
    </row>
    <row r="855">
      <c r="B855" s="116"/>
      <c r="G855" s="117"/>
      <c r="H855" s="118"/>
      <c r="J855" s="119"/>
      <c r="K855" s="35"/>
    </row>
    <row r="856">
      <c r="B856" s="116"/>
      <c r="G856" s="117"/>
      <c r="H856" s="118"/>
      <c r="J856" s="119"/>
      <c r="K856" s="35"/>
    </row>
    <row r="857">
      <c r="B857" s="116"/>
      <c r="G857" s="117"/>
      <c r="H857" s="118"/>
      <c r="J857" s="119"/>
      <c r="K857" s="35"/>
    </row>
    <row r="858">
      <c r="B858" s="116"/>
      <c r="G858" s="117"/>
      <c r="H858" s="118"/>
      <c r="J858" s="119"/>
      <c r="K858" s="35"/>
    </row>
    <row r="859">
      <c r="B859" s="116"/>
      <c r="G859" s="117"/>
      <c r="H859" s="118"/>
      <c r="J859" s="119"/>
      <c r="K859" s="35"/>
    </row>
    <row r="860">
      <c r="B860" s="116"/>
      <c r="G860" s="117"/>
      <c r="H860" s="118"/>
      <c r="J860" s="119"/>
      <c r="K860" s="35"/>
    </row>
    <row r="861">
      <c r="B861" s="116"/>
      <c r="G861" s="117"/>
      <c r="H861" s="118"/>
      <c r="J861" s="119"/>
      <c r="K861" s="35"/>
    </row>
    <row r="862">
      <c r="B862" s="116"/>
      <c r="G862" s="117"/>
      <c r="H862" s="118"/>
      <c r="J862" s="119"/>
      <c r="K862" s="35"/>
    </row>
    <row r="863">
      <c r="B863" s="116"/>
      <c r="G863" s="117"/>
      <c r="H863" s="118"/>
      <c r="J863" s="119"/>
      <c r="K863" s="35"/>
    </row>
    <row r="864">
      <c r="B864" s="116"/>
      <c r="G864" s="117"/>
      <c r="H864" s="118"/>
      <c r="J864" s="119"/>
      <c r="K864" s="35"/>
    </row>
    <row r="865">
      <c r="B865" s="116"/>
      <c r="G865" s="117"/>
      <c r="H865" s="118"/>
      <c r="J865" s="119"/>
      <c r="K865" s="35"/>
    </row>
    <row r="866">
      <c r="B866" s="116"/>
      <c r="G866" s="117"/>
      <c r="H866" s="118"/>
      <c r="J866" s="119"/>
      <c r="K866" s="35"/>
    </row>
    <row r="867">
      <c r="B867" s="116"/>
      <c r="G867" s="117"/>
      <c r="H867" s="118"/>
      <c r="J867" s="119"/>
      <c r="K867" s="35"/>
    </row>
    <row r="868">
      <c r="B868" s="116"/>
      <c r="G868" s="117"/>
      <c r="H868" s="118"/>
      <c r="J868" s="119"/>
      <c r="K868" s="35"/>
    </row>
    <row r="869">
      <c r="B869" s="116"/>
      <c r="G869" s="117"/>
      <c r="H869" s="118"/>
      <c r="J869" s="119"/>
      <c r="K869" s="35"/>
    </row>
    <row r="870">
      <c r="B870" s="116"/>
      <c r="G870" s="117"/>
      <c r="H870" s="118"/>
      <c r="J870" s="119"/>
      <c r="K870" s="35"/>
    </row>
    <row r="871">
      <c r="B871" s="116"/>
      <c r="G871" s="117"/>
      <c r="H871" s="118"/>
      <c r="J871" s="119"/>
      <c r="K871" s="35"/>
    </row>
    <row r="872">
      <c r="B872" s="116"/>
      <c r="G872" s="117"/>
      <c r="H872" s="118"/>
      <c r="J872" s="119"/>
      <c r="K872" s="35"/>
    </row>
    <row r="873">
      <c r="B873" s="116"/>
      <c r="G873" s="117"/>
      <c r="H873" s="118"/>
      <c r="J873" s="119"/>
      <c r="K873" s="35"/>
    </row>
    <row r="874">
      <c r="B874" s="116"/>
      <c r="G874" s="117"/>
      <c r="H874" s="118"/>
      <c r="J874" s="119"/>
      <c r="K874" s="35"/>
    </row>
    <row r="875">
      <c r="B875" s="116"/>
      <c r="G875" s="117"/>
      <c r="H875" s="118"/>
      <c r="J875" s="119"/>
      <c r="K875" s="35"/>
    </row>
    <row r="876">
      <c r="B876" s="116"/>
      <c r="G876" s="117"/>
      <c r="H876" s="118"/>
      <c r="J876" s="119"/>
      <c r="K876" s="35"/>
    </row>
    <row r="877">
      <c r="B877" s="116"/>
      <c r="G877" s="117"/>
      <c r="H877" s="118"/>
      <c r="J877" s="119"/>
      <c r="K877" s="35"/>
    </row>
    <row r="878">
      <c r="B878" s="116"/>
      <c r="G878" s="117"/>
      <c r="H878" s="118"/>
      <c r="J878" s="119"/>
      <c r="K878" s="35"/>
    </row>
    <row r="879">
      <c r="B879" s="116"/>
      <c r="G879" s="117"/>
      <c r="H879" s="118"/>
      <c r="J879" s="119"/>
      <c r="K879" s="35"/>
    </row>
    <row r="880">
      <c r="B880" s="116"/>
      <c r="G880" s="117"/>
      <c r="H880" s="118"/>
      <c r="J880" s="119"/>
      <c r="K880" s="35"/>
    </row>
    <row r="881">
      <c r="B881" s="116"/>
      <c r="G881" s="117"/>
      <c r="H881" s="118"/>
      <c r="J881" s="119"/>
      <c r="K881" s="35"/>
    </row>
    <row r="882">
      <c r="B882" s="116"/>
      <c r="G882" s="117"/>
      <c r="H882" s="118"/>
      <c r="J882" s="119"/>
      <c r="K882" s="35"/>
    </row>
    <row r="883">
      <c r="B883" s="116"/>
      <c r="G883" s="117"/>
      <c r="H883" s="118"/>
      <c r="J883" s="119"/>
      <c r="K883" s="35"/>
    </row>
    <row r="884">
      <c r="B884" s="116"/>
      <c r="G884" s="117"/>
      <c r="H884" s="118"/>
      <c r="J884" s="119"/>
      <c r="K884" s="35"/>
    </row>
    <row r="885">
      <c r="B885" s="116"/>
      <c r="G885" s="117"/>
      <c r="H885" s="118"/>
      <c r="J885" s="119"/>
      <c r="K885" s="35"/>
    </row>
    <row r="886">
      <c r="B886" s="116"/>
      <c r="G886" s="117"/>
      <c r="H886" s="118"/>
      <c r="J886" s="119"/>
      <c r="K886" s="35"/>
    </row>
    <row r="887">
      <c r="B887" s="116"/>
      <c r="G887" s="117"/>
      <c r="H887" s="118"/>
      <c r="J887" s="119"/>
      <c r="K887" s="35"/>
    </row>
    <row r="888">
      <c r="B888" s="116"/>
      <c r="G888" s="117"/>
      <c r="H888" s="118"/>
      <c r="J888" s="119"/>
      <c r="K888" s="35"/>
    </row>
    <row r="889">
      <c r="B889" s="116"/>
      <c r="G889" s="117"/>
      <c r="H889" s="118"/>
      <c r="J889" s="119"/>
      <c r="K889" s="35"/>
    </row>
    <row r="890">
      <c r="B890" s="116"/>
      <c r="G890" s="117"/>
      <c r="H890" s="118"/>
      <c r="J890" s="119"/>
      <c r="K890" s="35"/>
    </row>
    <row r="891">
      <c r="B891" s="116"/>
      <c r="G891" s="117"/>
      <c r="H891" s="118"/>
      <c r="J891" s="119"/>
      <c r="K891" s="35"/>
    </row>
    <row r="892">
      <c r="B892" s="116"/>
      <c r="G892" s="117"/>
      <c r="H892" s="118"/>
      <c r="J892" s="119"/>
      <c r="K892" s="35"/>
    </row>
    <row r="893">
      <c r="B893" s="116"/>
      <c r="G893" s="117"/>
      <c r="H893" s="118"/>
      <c r="J893" s="119"/>
      <c r="K893" s="35"/>
    </row>
    <row r="894">
      <c r="B894" s="116"/>
      <c r="G894" s="117"/>
      <c r="H894" s="118"/>
      <c r="J894" s="119"/>
      <c r="K894" s="35"/>
    </row>
    <row r="895">
      <c r="B895" s="116"/>
      <c r="G895" s="117"/>
      <c r="H895" s="118"/>
      <c r="J895" s="119"/>
      <c r="K895" s="35"/>
    </row>
    <row r="896">
      <c r="B896" s="116"/>
      <c r="G896" s="117"/>
      <c r="H896" s="118"/>
      <c r="J896" s="119"/>
      <c r="K896" s="35"/>
    </row>
    <row r="897">
      <c r="B897" s="116"/>
      <c r="G897" s="117"/>
      <c r="H897" s="118"/>
      <c r="J897" s="119"/>
      <c r="K897" s="35"/>
    </row>
    <row r="898">
      <c r="B898" s="116"/>
      <c r="G898" s="117"/>
      <c r="H898" s="118"/>
      <c r="J898" s="119"/>
      <c r="K898" s="35"/>
    </row>
    <row r="899">
      <c r="B899" s="116"/>
      <c r="G899" s="117"/>
      <c r="H899" s="118"/>
      <c r="J899" s="119"/>
      <c r="K899" s="35"/>
    </row>
    <row r="900">
      <c r="B900" s="116"/>
      <c r="G900" s="117"/>
      <c r="H900" s="118"/>
      <c r="J900" s="119"/>
      <c r="K900" s="35"/>
    </row>
    <row r="901">
      <c r="B901" s="116"/>
      <c r="G901" s="117"/>
      <c r="H901" s="118"/>
      <c r="J901" s="119"/>
      <c r="K901" s="35"/>
    </row>
    <row r="902">
      <c r="B902" s="116"/>
      <c r="G902" s="117"/>
      <c r="H902" s="118"/>
      <c r="J902" s="119"/>
      <c r="K902" s="35"/>
    </row>
    <row r="903">
      <c r="B903" s="116"/>
      <c r="G903" s="117"/>
      <c r="H903" s="118"/>
      <c r="J903" s="119"/>
      <c r="K903" s="35"/>
    </row>
    <row r="904">
      <c r="B904" s="116"/>
      <c r="G904" s="117"/>
      <c r="H904" s="118"/>
      <c r="J904" s="119"/>
      <c r="K904" s="35"/>
    </row>
    <row r="905">
      <c r="B905" s="116"/>
      <c r="G905" s="117"/>
      <c r="H905" s="118"/>
      <c r="J905" s="119"/>
      <c r="K905" s="35"/>
    </row>
    <row r="906">
      <c r="B906" s="116"/>
      <c r="G906" s="117"/>
      <c r="H906" s="118"/>
      <c r="J906" s="119"/>
      <c r="K906" s="35"/>
    </row>
    <row r="907">
      <c r="B907" s="116"/>
      <c r="G907" s="117"/>
      <c r="H907" s="118"/>
      <c r="J907" s="119"/>
      <c r="K907" s="35"/>
    </row>
    <row r="908">
      <c r="B908" s="116"/>
      <c r="G908" s="117"/>
      <c r="H908" s="118"/>
      <c r="J908" s="119"/>
      <c r="K908" s="35"/>
    </row>
    <row r="909">
      <c r="B909" s="116"/>
      <c r="G909" s="117"/>
      <c r="H909" s="118"/>
      <c r="J909" s="119"/>
      <c r="K909" s="35"/>
    </row>
    <row r="910">
      <c r="B910" s="116"/>
      <c r="G910" s="117"/>
      <c r="H910" s="118"/>
      <c r="J910" s="119"/>
      <c r="K910" s="35"/>
    </row>
    <row r="911">
      <c r="B911" s="116"/>
      <c r="G911" s="117"/>
      <c r="H911" s="118"/>
      <c r="J911" s="119"/>
      <c r="K911" s="35"/>
    </row>
    <row r="912">
      <c r="B912" s="116"/>
      <c r="G912" s="117"/>
      <c r="H912" s="118"/>
      <c r="J912" s="119"/>
      <c r="K912" s="35"/>
    </row>
    <row r="913">
      <c r="B913" s="116"/>
      <c r="G913" s="117"/>
      <c r="H913" s="118"/>
      <c r="J913" s="119"/>
      <c r="K913" s="35"/>
    </row>
    <row r="914">
      <c r="B914" s="116"/>
      <c r="G914" s="117"/>
      <c r="H914" s="118"/>
      <c r="J914" s="119"/>
      <c r="K914" s="35"/>
    </row>
    <row r="915">
      <c r="B915" s="116"/>
      <c r="G915" s="117"/>
      <c r="H915" s="118"/>
      <c r="J915" s="119"/>
      <c r="K915" s="35"/>
    </row>
    <row r="916">
      <c r="B916" s="116"/>
      <c r="G916" s="117"/>
      <c r="H916" s="118"/>
      <c r="J916" s="119"/>
      <c r="K916" s="35"/>
    </row>
    <row r="917">
      <c r="B917" s="116"/>
      <c r="G917" s="117"/>
      <c r="H917" s="118"/>
      <c r="J917" s="119"/>
      <c r="K917" s="35"/>
    </row>
    <row r="918">
      <c r="B918" s="116"/>
      <c r="G918" s="117"/>
      <c r="H918" s="118"/>
      <c r="J918" s="119"/>
      <c r="K918" s="35"/>
    </row>
    <row r="919">
      <c r="B919" s="116"/>
      <c r="G919" s="117"/>
      <c r="H919" s="118"/>
      <c r="J919" s="119"/>
      <c r="K919" s="35"/>
    </row>
    <row r="920">
      <c r="B920" s="116"/>
      <c r="G920" s="117"/>
      <c r="H920" s="118"/>
      <c r="J920" s="119"/>
      <c r="K920" s="35"/>
    </row>
    <row r="921">
      <c r="B921" s="116"/>
      <c r="G921" s="117"/>
      <c r="H921" s="118"/>
      <c r="J921" s="119"/>
      <c r="K921" s="35"/>
    </row>
    <row r="922">
      <c r="B922" s="116"/>
      <c r="G922" s="117"/>
      <c r="H922" s="118"/>
      <c r="J922" s="119"/>
      <c r="K922" s="35"/>
    </row>
    <row r="923">
      <c r="B923" s="116"/>
      <c r="G923" s="117"/>
      <c r="H923" s="118"/>
      <c r="J923" s="119"/>
      <c r="K923" s="35"/>
    </row>
    <row r="924">
      <c r="B924" s="116"/>
      <c r="G924" s="117"/>
      <c r="H924" s="118"/>
      <c r="J924" s="119"/>
      <c r="K924" s="35"/>
    </row>
    <row r="925">
      <c r="B925" s="116"/>
      <c r="G925" s="117"/>
      <c r="H925" s="118"/>
      <c r="J925" s="119"/>
      <c r="K925" s="35"/>
    </row>
    <row r="926">
      <c r="B926" s="116"/>
      <c r="G926" s="117"/>
      <c r="H926" s="118"/>
      <c r="J926" s="119"/>
      <c r="K926" s="35"/>
    </row>
    <row r="927">
      <c r="B927" s="116"/>
      <c r="G927" s="117"/>
      <c r="H927" s="118"/>
      <c r="J927" s="119"/>
      <c r="K927" s="35"/>
    </row>
    <row r="928">
      <c r="B928" s="116"/>
      <c r="G928" s="117"/>
      <c r="H928" s="118"/>
      <c r="J928" s="119"/>
      <c r="K928" s="35"/>
    </row>
    <row r="929">
      <c r="B929" s="116"/>
      <c r="G929" s="117"/>
      <c r="H929" s="118"/>
      <c r="J929" s="119"/>
      <c r="K929" s="35"/>
    </row>
    <row r="930">
      <c r="B930" s="116"/>
      <c r="G930" s="117"/>
      <c r="H930" s="118"/>
      <c r="J930" s="119"/>
      <c r="K930" s="35"/>
    </row>
    <row r="931">
      <c r="B931" s="116"/>
      <c r="G931" s="117"/>
      <c r="H931" s="118"/>
      <c r="J931" s="119"/>
      <c r="K931" s="35"/>
    </row>
    <row r="932">
      <c r="B932" s="116"/>
      <c r="G932" s="117"/>
      <c r="H932" s="118"/>
      <c r="J932" s="119"/>
      <c r="K932" s="35"/>
    </row>
    <row r="933">
      <c r="B933" s="116"/>
      <c r="G933" s="117"/>
      <c r="H933" s="118"/>
      <c r="J933" s="119"/>
      <c r="K933" s="35"/>
    </row>
    <row r="934">
      <c r="B934" s="116"/>
      <c r="G934" s="117"/>
      <c r="H934" s="118"/>
      <c r="J934" s="119"/>
      <c r="K934" s="35"/>
    </row>
    <row r="935">
      <c r="B935" s="116"/>
      <c r="G935" s="117"/>
      <c r="H935" s="118"/>
      <c r="J935" s="119"/>
      <c r="K935" s="35"/>
    </row>
    <row r="936">
      <c r="B936" s="116"/>
      <c r="G936" s="117"/>
      <c r="H936" s="118"/>
      <c r="J936" s="119"/>
      <c r="K936" s="35"/>
    </row>
    <row r="937">
      <c r="B937" s="116"/>
      <c r="G937" s="117"/>
      <c r="H937" s="118"/>
      <c r="J937" s="119"/>
      <c r="K937" s="35"/>
    </row>
    <row r="938">
      <c r="B938" s="116"/>
      <c r="G938" s="117"/>
      <c r="H938" s="118"/>
      <c r="J938" s="119"/>
      <c r="K938" s="35"/>
    </row>
    <row r="939">
      <c r="B939" s="116"/>
      <c r="G939" s="117"/>
      <c r="H939" s="118"/>
      <c r="J939" s="119"/>
      <c r="K939" s="35"/>
    </row>
    <row r="940">
      <c r="B940" s="116"/>
      <c r="G940" s="117"/>
      <c r="H940" s="118"/>
      <c r="J940" s="119"/>
      <c r="K940" s="35"/>
    </row>
    <row r="941">
      <c r="B941" s="116"/>
      <c r="G941" s="117"/>
      <c r="H941" s="118"/>
      <c r="J941" s="119"/>
      <c r="K941" s="35"/>
    </row>
    <row r="942">
      <c r="B942" s="116"/>
      <c r="G942" s="117"/>
      <c r="H942" s="118"/>
      <c r="J942" s="119"/>
      <c r="K942" s="35"/>
    </row>
    <row r="943">
      <c r="B943" s="116"/>
      <c r="G943" s="117"/>
      <c r="H943" s="118"/>
      <c r="J943" s="119"/>
      <c r="K943" s="35"/>
    </row>
    <row r="944">
      <c r="B944" s="116"/>
      <c r="G944" s="117"/>
      <c r="H944" s="118"/>
      <c r="J944" s="119"/>
      <c r="K944" s="35"/>
    </row>
    <row r="945">
      <c r="B945" s="116"/>
      <c r="G945" s="117"/>
      <c r="H945" s="118"/>
      <c r="J945" s="119"/>
      <c r="K945" s="35"/>
    </row>
    <row r="946">
      <c r="B946" s="116"/>
      <c r="G946" s="117"/>
      <c r="H946" s="118"/>
      <c r="J946" s="119"/>
      <c r="K946" s="35"/>
    </row>
    <row r="947">
      <c r="B947" s="116"/>
      <c r="G947" s="117"/>
      <c r="H947" s="118"/>
      <c r="J947" s="119"/>
      <c r="K947" s="35"/>
    </row>
    <row r="948">
      <c r="B948" s="116"/>
      <c r="G948" s="117"/>
      <c r="H948" s="118"/>
      <c r="J948" s="119"/>
      <c r="K948" s="35"/>
    </row>
    <row r="949">
      <c r="B949" s="116"/>
      <c r="G949" s="117"/>
      <c r="H949" s="118"/>
      <c r="J949" s="119"/>
      <c r="K949" s="35"/>
    </row>
    <row r="950">
      <c r="B950" s="116"/>
      <c r="G950" s="117"/>
      <c r="H950" s="118"/>
      <c r="J950" s="119"/>
      <c r="K950" s="35"/>
    </row>
    <row r="951">
      <c r="B951" s="116"/>
      <c r="G951" s="117"/>
      <c r="H951" s="118"/>
      <c r="J951" s="119"/>
      <c r="K951" s="35"/>
    </row>
    <row r="952">
      <c r="B952" s="116"/>
      <c r="G952" s="117"/>
      <c r="H952" s="118"/>
      <c r="J952" s="119"/>
      <c r="K952" s="35"/>
    </row>
    <row r="953">
      <c r="B953" s="116"/>
      <c r="G953" s="117"/>
      <c r="H953" s="118"/>
      <c r="J953" s="119"/>
      <c r="K953" s="35"/>
    </row>
    <row r="954">
      <c r="B954" s="116"/>
      <c r="G954" s="117"/>
      <c r="H954" s="118"/>
      <c r="J954" s="119"/>
      <c r="K954" s="35"/>
    </row>
    <row r="955">
      <c r="B955" s="116"/>
      <c r="G955" s="117"/>
      <c r="H955" s="118"/>
      <c r="J955" s="119"/>
      <c r="K955" s="35"/>
    </row>
    <row r="956">
      <c r="B956" s="116"/>
      <c r="G956" s="117"/>
      <c r="H956" s="118"/>
      <c r="J956" s="119"/>
      <c r="K956" s="35"/>
    </row>
    <row r="957">
      <c r="B957" s="116"/>
      <c r="G957" s="117"/>
      <c r="H957" s="118"/>
      <c r="J957" s="119"/>
      <c r="K957" s="35"/>
    </row>
    <row r="958">
      <c r="B958" s="116"/>
      <c r="G958" s="117"/>
      <c r="H958" s="118"/>
      <c r="J958" s="119"/>
      <c r="K958" s="35"/>
    </row>
    <row r="959">
      <c r="B959" s="116"/>
      <c r="G959" s="117"/>
      <c r="H959" s="118"/>
      <c r="J959" s="119"/>
      <c r="K959" s="35"/>
    </row>
    <row r="960">
      <c r="B960" s="116"/>
      <c r="G960" s="117"/>
      <c r="H960" s="118"/>
      <c r="J960" s="119"/>
      <c r="K960" s="35"/>
    </row>
    <row r="961">
      <c r="B961" s="116"/>
      <c r="G961" s="117"/>
      <c r="H961" s="118"/>
      <c r="J961" s="119"/>
      <c r="K961" s="35"/>
    </row>
    <row r="962">
      <c r="B962" s="116"/>
      <c r="G962" s="117"/>
      <c r="H962" s="118"/>
      <c r="J962" s="119"/>
      <c r="K962" s="35"/>
    </row>
    <row r="963">
      <c r="B963" s="116"/>
      <c r="G963" s="117"/>
      <c r="H963" s="118"/>
      <c r="J963" s="119"/>
      <c r="K963" s="35"/>
    </row>
    <row r="964">
      <c r="B964" s="116"/>
      <c r="G964" s="117"/>
      <c r="H964" s="118"/>
      <c r="J964" s="119"/>
      <c r="K964" s="35"/>
    </row>
    <row r="965">
      <c r="B965" s="116"/>
      <c r="G965" s="117"/>
      <c r="H965" s="118"/>
      <c r="J965" s="119"/>
      <c r="K965" s="35"/>
    </row>
    <row r="966">
      <c r="B966" s="116"/>
      <c r="G966" s="117"/>
      <c r="H966" s="118"/>
      <c r="J966" s="119"/>
      <c r="K966" s="35"/>
    </row>
    <row r="967">
      <c r="B967" s="116"/>
      <c r="G967" s="117"/>
      <c r="H967" s="118"/>
      <c r="J967" s="119"/>
      <c r="K967" s="35"/>
    </row>
    <row r="968">
      <c r="B968" s="116"/>
      <c r="G968" s="117"/>
      <c r="H968" s="118"/>
      <c r="J968" s="119"/>
      <c r="K968" s="35"/>
    </row>
    <row r="969">
      <c r="B969" s="116"/>
      <c r="G969" s="117"/>
      <c r="H969" s="118"/>
      <c r="J969" s="119"/>
      <c r="K969" s="35"/>
    </row>
    <row r="970">
      <c r="B970" s="116"/>
      <c r="G970" s="117"/>
      <c r="H970" s="118"/>
      <c r="J970" s="119"/>
      <c r="K970" s="35"/>
    </row>
    <row r="971">
      <c r="B971" s="116"/>
      <c r="G971" s="117"/>
      <c r="H971" s="118"/>
      <c r="J971" s="119"/>
      <c r="K971" s="35"/>
    </row>
    <row r="972">
      <c r="B972" s="116"/>
      <c r="G972" s="117"/>
      <c r="H972" s="118"/>
      <c r="J972" s="119"/>
      <c r="K972" s="35"/>
    </row>
    <row r="973">
      <c r="B973" s="116"/>
      <c r="G973" s="117"/>
      <c r="H973" s="118"/>
      <c r="J973" s="119"/>
      <c r="K973" s="35"/>
    </row>
    <row r="974">
      <c r="B974" s="116"/>
      <c r="G974" s="117"/>
      <c r="H974" s="118"/>
      <c r="J974" s="119"/>
      <c r="K974" s="35"/>
    </row>
    <row r="975">
      <c r="B975" s="116"/>
      <c r="G975" s="117"/>
      <c r="H975" s="118"/>
      <c r="J975" s="119"/>
      <c r="K975" s="35"/>
    </row>
    <row r="976">
      <c r="B976" s="116"/>
      <c r="G976" s="117"/>
      <c r="H976" s="118"/>
      <c r="J976" s="119"/>
      <c r="K976" s="35"/>
    </row>
    <row r="977">
      <c r="B977" s="116"/>
      <c r="G977" s="117"/>
      <c r="H977" s="118"/>
      <c r="J977" s="119"/>
      <c r="K977" s="35"/>
    </row>
    <row r="978">
      <c r="B978" s="116"/>
      <c r="G978" s="117"/>
      <c r="H978" s="118"/>
      <c r="J978" s="119"/>
      <c r="K978" s="35"/>
    </row>
    <row r="979">
      <c r="B979" s="116"/>
      <c r="G979" s="117"/>
      <c r="H979" s="118"/>
      <c r="J979" s="119"/>
      <c r="K979" s="35"/>
    </row>
    <row r="980">
      <c r="B980" s="116"/>
      <c r="G980" s="117"/>
      <c r="H980" s="118"/>
      <c r="J980" s="119"/>
      <c r="K980" s="35"/>
    </row>
    <row r="981">
      <c r="B981" s="116"/>
      <c r="G981" s="117"/>
      <c r="H981" s="118"/>
      <c r="J981" s="119"/>
      <c r="K981" s="35"/>
    </row>
    <row r="982">
      <c r="B982" s="116"/>
      <c r="G982" s="117"/>
      <c r="H982" s="118"/>
      <c r="J982" s="119"/>
      <c r="K982" s="35"/>
    </row>
    <row r="983">
      <c r="B983" s="116"/>
      <c r="G983" s="117"/>
      <c r="H983" s="118"/>
      <c r="J983" s="119"/>
      <c r="K983" s="35"/>
    </row>
    <row r="984">
      <c r="B984" s="116"/>
      <c r="G984" s="117"/>
      <c r="H984" s="118"/>
      <c r="J984" s="119"/>
      <c r="K984" s="35"/>
    </row>
    <row r="985">
      <c r="B985" s="116"/>
      <c r="G985" s="117"/>
      <c r="H985" s="118"/>
      <c r="J985" s="119"/>
      <c r="K985" s="35"/>
    </row>
    <row r="986">
      <c r="B986" s="116"/>
      <c r="G986" s="117"/>
      <c r="H986" s="118"/>
      <c r="J986" s="119"/>
      <c r="K986" s="35"/>
    </row>
    <row r="987">
      <c r="B987" s="116"/>
      <c r="G987" s="117"/>
      <c r="H987" s="118"/>
      <c r="J987" s="119"/>
      <c r="K987" s="35"/>
    </row>
    <row r="988">
      <c r="B988" s="116"/>
      <c r="G988" s="117"/>
      <c r="H988" s="118"/>
      <c r="J988" s="119"/>
      <c r="K988" s="35"/>
    </row>
    <row r="989">
      <c r="B989" s="116"/>
      <c r="G989" s="117"/>
      <c r="H989" s="118"/>
      <c r="J989" s="119"/>
      <c r="K989" s="35"/>
    </row>
    <row r="990">
      <c r="B990" s="116"/>
      <c r="G990" s="117"/>
      <c r="H990" s="118"/>
      <c r="J990" s="119"/>
      <c r="K990" s="35"/>
    </row>
    <row r="991">
      <c r="B991" s="116"/>
      <c r="G991" s="117"/>
      <c r="H991" s="118"/>
      <c r="J991" s="119"/>
      <c r="K991" s="35"/>
    </row>
    <row r="992">
      <c r="B992" s="116"/>
      <c r="G992" s="117"/>
      <c r="H992" s="118"/>
      <c r="J992" s="119"/>
      <c r="K992" s="35"/>
    </row>
    <row r="993">
      <c r="B993" s="116"/>
      <c r="G993" s="117"/>
      <c r="H993" s="118"/>
      <c r="J993" s="119"/>
      <c r="K993" s="35"/>
    </row>
    <row r="994">
      <c r="B994" s="116"/>
      <c r="G994" s="117"/>
      <c r="H994" s="118"/>
      <c r="J994" s="119"/>
      <c r="K994" s="35"/>
    </row>
    <row r="995">
      <c r="B995" s="116"/>
      <c r="G995" s="117"/>
      <c r="H995" s="118"/>
      <c r="J995" s="119"/>
      <c r="K995" s="35"/>
    </row>
    <row r="996">
      <c r="B996" s="116"/>
      <c r="G996" s="117"/>
      <c r="H996" s="118"/>
      <c r="J996" s="119"/>
      <c r="K996" s="35"/>
    </row>
    <row r="997">
      <c r="B997" s="116"/>
      <c r="G997" s="117"/>
      <c r="H997" s="118"/>
      <c r="J997" s="119"/>
      <c r="K997" s="35"/>
    </row>
    <row r="998">
      <c r="B998" s="116"/>
      <c r="G998" s="117"/>
      <c r="H998" s="118"/>
      <c r="J998" s="119"/>
      <c r="K998" s="35"/>
    </row>
    <row r="999">
      <c r="B999" s="116"/>
      <c r="G999" s="117"/>
      <c r="H999" s="118"/>
      <c r="J999" s="119"/>
      <c r="K999" s="35"/>
    </row>
    <row r="1000">
      <c r="B1000" s="116"/>
      <c r="G1000" s="117"/>
      <c r="H1000" s="118"/>
      <c r="J1000" s="119"/>
      <c r="K1000" s="35"/>
    </row>
    <row r="1001">
      <c r="B1001" s="116"/>
      <c r="G1001" s="117"/>
      <c r="H1001" s="118"/>
      <c r="J1001" s="119"/>
      <c r="K1001" s="35"/>
    </row>
    <row r="1002">
      <c r="B1002" s="116"/>
      <c r="G1002" s="117"/>
      <c r="H1002" s="118"/>
      <c r="J1002" s="119"/>
      <c r="K1002" s="35"/>
    </row>
    <row r="1003">
      <c r="B1003" s="116"/>
      <c r="G1003" s="117"/>
      <c r="H1003" s="118"/>
      <c r="J1003" s="119"/>
      <c r="K1003" s="35"/>
    </row>
    <row r="1004">
      <c r="B1004" s="116"/>
      <c r="G1004" s="117"/>
      <c r="H1004" s="118"/>
      <c r="J1004" s="119"/>
      <c r="K1004" s="35"/>
    </row>
    <row r="1005">
      <c r="B1005" s="116"/>
      <c r="G1005" s="117"/>
      <c r="H1005" s="118"/>
      <c r="J1005" s="119"/>
      <c r="K1005" s="35"/>
    </row>
    <row r="1006">
      <c r="B1006" s="116"/>
      <c r="G1006" s="117"/>
      <c r="H1006" s="118"/>
      <c r="J1006" s="119"/>
      <c r="K1006" s="35"/>
    </row>
    <row r="1007">
      <c r="B1007" s="116"/>
      <c r="G1007" s="117"/>
      <c r="H1007" s="118"/>
      <c r="J1007" s="119"/>
      <c r="K1007" s="35"/>
    </row>
    <row r="1008">
      <c r="B1008" s="116"/>
      <c r="G1008" s="117"/>
      <c r="H1008" s="118"/>
      <c r="J1008" s="119"/>
      <c r="K1008" s="35"/>
    </row>
    <row r="1009">
      <c r="B1009" s="116"/>
      <c r="G1009" s="117"/>
      <c r="H1009" s="118"/>
      <c r="J1009" s="119"/>
      <c r="K1009" s="35"/>
    </row>
    <row r="1010">
      <c r="B1010" s="116"/>
      <c r="G1010" s="117"/>
      <c r="H1010" s="118"/>
      <c r="J1010" s="119"/>
      <c r="K1010" s="35"/>
    </row>
    <row r="1011">
      <c r="B1011" s="116"/>
      <c r="G1011" s="117"/>
      <c r="H1011" s="118"/>
      <c r="J1011" s="119"/>
      <c r="K1011" s="35"/>
    </row>
    <row r="1012">
      <c r="B1012" s="116"/>
      <c r="G1012" s="117"/>
      <c r="H1012" s="118"/>
      <c r="J1012" s="119"/>
      <c r="K1012" s="35"/>
    </row>
    <row r="1013">
      <c r="B1013" s="116"/>
      <c r="G1013" s="117"/>
      <c r="H1013" s="118"/>
      <c r="J1013" s="119"/>
      <c r="K1013" s="35"/>
    </row>
    <row r="1014">
      <c r="B1014" s="116"/>
      <c r="G1014" s="117"/>
      <c r="H1014" s="118"/>
      <c r="J1014" s="119"/>
      <c r="K1014" s="35"/>
    </row>
    <row r="1015">
      <c r="B1015" s="116"/>
      <c r="G1015" s="117"/>
      <c r="H1015" s="118"/>
      <c r="J1015" s="119"/>
      <c r="K1015" s="35"/>
    </row>
    <row r="1016">
      <c r="B1016" s="116"/>
      <c r="G1016" s="117"/>
      <c r="H1016" s="118"/>
      <c r="J1016" s="119"/>
      <c r="K1016" s="35"/>
    </row>
    <row r="1017">
      <c r="B1017" s="116"/>
      <c r="G1017" s="117"/>
      <c r="H1017" s="118"/>
      <c r="J1017" s="119"/>
      <c r="K1017" s="35"/>
    </row>
    <row r="1018">
      <c r="B1018" s="116"/>
      <c r="G1018" s="117"/>
      <c r="H1018" s="118"/>
      <c r="J1018" s="119"/>
      <c r="K1018" s="35"/>
    </row>
    <row r="1019">
      <c r="B1019" s="116"/>
      <c r="G1019" s="117"/>
      <c r="H1019" s="118"/>
      <c r="J1019" s="119"/>
      <c r="K1019" s="35"/>
    </row>
    <row r="1020">
      <c r="B1020" s="116"/>
      <c r="G1020" s="117"/>
      <c r="H1020" s="118"/>
      <c r="J1020" s="119"/>
      <c r="K1020" s="35"/>
    </row>
    <row r="1021">
      <c r="B1021" s="116"/>
      <c r="G1021" s="117"/>
      <c r="H1021" s="118"/>
      <c r="J1021" s="119"/>
      <c r="K1021" s="35"/>
    </row>
    <row r="1022">
      <c r="B1022" s="116"/>
      <c r="G1022" s="117"/>
      <c r="H1022" s="118"/>
      <c r="J1022" s="119"/>
      <c r="K1022" s="35"/>
    </row>
    <row r="1023">
      <c r="B1023" s="116"/>
      <c r="G1023" s="117"/>
      <c r="H1023" s="118"/>
      <c r="J1023" s="119"/>
      <c r="K1023" s="35"/>
    </row>
    <row r="1024">
      <c r="B1024" s="116"/>
      <c r="G1024" s="117"/>
      <c r="H1024" s="118"/>
      <c r="J1024" s="119"/>
      <c r="K1024" s="35"/>
    </row>
    <row r="1025">
      <c r="B1025" s="116"/>
      <c r="G1025" s="117"/>
      <c r="H1025" s="118"/>
      <c r="J1025" s="119"/>
      <c r="K1025" s="35"/>
    </row>
    <row r="1026">
      <c r="B1026" s="116"/>
      <c r="G1026" s="117"/>
      <c r="H1026" s="118"/>
      <c r="J1026" s="119"/>
      <c r="K1026" s="35"/>
    </row>
    <row r="1027">
      <c r="B1027" s="116"/>
      <c r="G1027" s="117"/>
      <c r="H1027" s="118"/>
      <c r="J1027" s="119"/>
      <c r="K1027" s="35"/>
    </row>
  </sheetData>
  <autoFilter ref="$A$1:$J$1027"/>
  <hyperlinks>
    <hyperlink r:id="rId1" ref="I2"/>
    <hyperlink r:id="rId2" ref="N2"/>
    <hyperlink r:id="rId3" ref="I3"/>
    <hyperlink r:id="rId4" ref="N4"/>
    <hyperlink r:id="rId5" ref="I5"/>
    <hyperlink r:id="rId6" ref="N5"/>
    <hyperlink r:id="rId7" ref="I6"/>
    <hyperlink r:id="rId8" ref="N6"/>
    <hyperlink r:id="rId9" ref="I7"/>
    <hyperlink r:id="rId10" ref="I8"/>
    <hyperlink r:id="rId11" ref="I12"/>
    <hyperlink r:id="rId12" ref="N12"/>
    <hyperlink r:id="rId13" ref="I13"/>
    <hyperlink r:id="rId14" ref="N13"/>
    <hyperlink r:id="rId15" ref="N14"/>
    <hyperlink r:id="rId16" ref="N15"/>
    <hyperlink r:id="rId17" ref="N16"/>
    <hyperlink r:id="rId18" ref="N17"/>
    <hyperlink r:id="rId19" ref="I18"/>
    <hyperlink r:id="rId20" ref="N18"/>
    <hyperlink r:id="rId21" ref="I19"/>
    <hyperlink r:id="rId22" ref="N19"/>
    <hyperlink r:id="rId23" ref="N20"/>
    <hyperlink r:id="rId24" ref="N21"/>
    <hyperlink r:id="rId25" ref="N22"/>
    <hyperlink r:id="rId26" ref="I23"/>
    <hyperlink r:id="rId27" ref="N23"/>
    <hyperlink r:id="rId28" ref="I24"/>
    <hyperlink r:id="rId29" ref="N24"/>
    <hyperlink r:id="rId30" ref="N25"/>
    <hyperlink r:id="rId31" ref="N26"/>
    <hyperlink r:id="rId32" ref="N27"/>
    <hyperlink r:id="rId33" ref="I28"/>
    <hyperlink r:id="rId34" ref="I29"/>
    <hyperlink r:id="rId35" ref="I33"/>
    <hyperlink r:id="rId36" ref="I34"/>
    <hyperlink r:id="rId37" ref="I38"/>
    <hyperlink r:id="rId38" ref="I39"/>
    <hyperlink r:id="rId39" ref="I43"/>
    <hyperlink r:id="rId40" ref="I44"/>
    <hyperlink r:id="rId41" ref="I48"/>
    <hyperlink r:id="rId42" ref="I49"/>
    <hyperlink r:id="rId43" ref="I54"/>
    <hyperlink r:id="rId44" ref="I55"/>
    <hyperlink r:id="rId45" ref="I60"/>
    <hyperlink r:id="rId46" ref="I61"/>
    <hyperlink r:id="rId47" ref="I66"/>
    <hyperlink r:id="rId48" ref="I67"/>
    <hyperlink r:id="rId49" ref="I71"/>
    <hyperlink r:id="rId50" ref="I72"/>
    <hyperlink r:id="rId51" ref="I76"/>
    <hyperlink r:id="rId52" ref="I77"/>
    <hyperlink r:id="rId53" ref="I82"/>
    <hyperlink r:id="rId54" ref="I83"/>
    <hyperlink r:id="rId55" ref="I89"/>
    <hyperlink r:id="rId56" ref="I90"/>
    <hyperlink r:id="rId57" ref="I94"/>
    <hyperlink r:id="rId58" ref="I95"/>
    <hyperlink r:id="rId59" ref="I99"/>
    <hyperlink r:id="rId60" ref="I100"/>
    <hyperlink r:id="rId61" ref="I106"/>
    <hyperlink r:id="rId62" ref="I107"/>
    <hyperlink r:id="rId63" ref="I111"/>
    <hyperlink r:id="rId64" ref="I112"/>
  </hyperlinks>
  <drawing r:id="rId6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hidden="1" min="2" max="2" width="31.14"/>
    <col customWidth="1" hidden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min="9" max="9" width="58.29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0" t="s">
        <v>53</v>
      </c>
      <c r="C1" s="11" t="s">
        <v>54</v>
      </c>
      <c r="D1" s="12" t="s">
        <v>55</v>
      </c>
      <c r="E1" s="13" t="s">
        <v>56</v>
      </c>
      <c r="F1" s="12" t="s">
        <v>57</v>
      </c>
      <c r="G1" s="15" t="s">
        <v>58</v>
      </c>
      <c r="H1" s="15" t="s">
        <v>59</v>
      </c>
      <c r="I1" s="17" t="s">
        <v>144</v>
      </c>
      <c r="J1" s="17" t="s">
        <v>61</v>
      </c>
      <c r="K1" s="18"/>
      <c r="L1" s="19" t="s">
        <v>62</v>
      </c>
      <c r="M1" s="19" t="s">
        <v>52</v>
      </c>
      <c r="N1" s="19" t="s">
        <v>63</v>
      </c>
      <c r="O1" s="20" t="s">
        <v>59</v>
      </c>
      <c r="P1" s="21"/>
      <c r="Q1" s="22" t="s">
        <v>64</v>
      </c>
      <c r="R1" s="23">
        <v>46123.0</v>
      </c>
      <c r="S1" s="22" t="s">
        <v>65</v>
      </c>
      <c r="T1" s="24" t="s">
        <v>145</v>
      </c>
      <c r="U1" s="25" t="s">
        <v>67</v>
      </c>
      <c r="V1" s="24">
        <v>642.0</v>
      </c>
      <c r="W1" s="21"/>
      <c r="X1" s="21"/>
      <c r="Y1" s="21"/>
      <c r="Z1" s="21"/>
    </row>
    <row r="2">
      <c r="A2" s="28" t="s">
        <v>2</v>
      </c>
      <c r="B2" s="27" t="s">
        <v>68</v>
      </c>
      <c r="C2" s="28" t="s">
        <v>58</v>
      </c>
      <c r="D2" s="29" t="s">
        <v>69</v>
      </c>
      <c r="E2" s="30" t="s">
        <v>70</v>
      </c>
      <c r="F2" s="135" t="s">
        <v>71</v>
      </c>
      <c r="G2" s="156">
        <f>SUMIFS('Marzo Data'!C:C,'Marzo Data'!A:A,B2,'Marzo Data'!B:B,F2)</f>
        <v>4861937.69</v>
      </c>
      <c r="H2" s="32" t="str">
        <f>VLOOKUP(B2,'Marzo Data'!A:D,4,FALSE)</f>
        <v>UESP1658</v>
      </c>
      <c r="I2" s="85" t="s">
        <v>68</v>
      </c>
      <c r="J2" s="85">
        <f>V1</f>
        <v>642</v>
      </c>
      <c r="K2" s="35"/>
      <c r="L2" s="36" t="b">
        <v>0</v>
      </c>
      <c r="M2" s="37" t="s">
        <v>2</v>
      </c>
      <c r="N2" s="38" t="s">
        <v>3</v>
      </c>
      <c r="O2" s="37"/>
    </row>
    <row r="3">
      <c r="A3" s="41" t="s">
        <v>2</v>
      </c>
      <c r="B3" s="40" t="s">
        <v>68</v>
      </c>
      <c r="C3" s="41" t="s">
        <v>72</v>
      </c>
      <c r="D3" s="42" t="s">
        <v>69</v>
      </c>
      <c r="E3" s="43" t="s">
        <v>70</v>
      </c>
      <c r="F3" s="56" t="s">
        <v>73</v>
      </c>
      <c r="G3" s="157">
        <f>SUMIFS('Marzo Data'!C:C,'Marzo Data'!A:A,B3,'Marzo Data'!B:B,F3)</f>
        <v>241991.07</v>
      </c>
      <c r="H3" s="45" t="str">
        <f>VLOOKUP(B3,'Marzo Data'!A:D,4,FALSE)</f>
        <v>UESP1658</v>
      </c>
      <c r="I3" s="89" t="s">
        <v>68</v>
      </c>
      <c r="J3" s="79"/>
      <c r="K3" s="35"/>
      <c r="L3" s="36" t="b">
        <v>0</v>
      </c>
      <c r="M3" s="127"/>
      <c r="N3" s="36"/>
      <c r="O3" s="37"/>
    </row>
    <row r="4">
      <c r="A4" s="50" t="s">
        <v>2</v>
      </c>
      <c r="B4" s="40" t="s">
        <v>68</v>
      </c>
      <c r="C4" s="41" t="s">
        <v>72</v>
      </c>
      <c r="D4" s="50" t="s">
        <v>69</v>
      </c>
      <c r="E4" s="51" t="s">
        <v>70</v>
      </c>
      <c r="F4" s="50" t="s">
        <v>74</v>
      </c>
      <c r="G4" s="158">
        <f>G2+G3</f>
        <v>5103928.76</v>
      </c>
      <c r="H4" s="53" t="str">
        <f>VLOOKUP(B4,'Marzo Data'!A:D,4,FALSE)</f>
        <v>UESP1658</v>
      </c>
      <c r="I4" s="78"/>
      <c r="J4" s="78"/>
      <c r="K4" s="35"/>
      <c r="L4" s="36" t="b">
        <v>0</v>
      </c>
      <c r="M4" s="37" t="s">
        <v>4</v>
      </c>
      <c r="N4" s="38" t="s">
        <v>5</v>
      </c>
      <c r="O4" s="37"/>
    </row>
    <row r="5">
      <c r="A5" s="39" t="s">
        <v>2</v>
      </c>
      <c r="B5" s="40" t="s">
        <v>68</v>
      </c>
      <c r="C5" s="41" t="s">
        <v>59</v>
      </c>
      <c r="D5" s="56" t="s">
        <v>59</v>
      </c>
      <c r="E5" s="43" t="s">
        <v>70</v>
      </c>
      <c r="F5" s="41" t="s">
        <v>75</v>
      </c>
      <c r="G5" s="157">
        <f>G4*5%</f>
        <v>255196.438</v>
      </c>
      <c r="H5" s="45" t="str">
        <f>VLOOKUP(B5,'Marzo Data'!A:D,4,FALSE)</f>
        <v>UESP1658</v>
      </c>
      <c r="I5" s="85" t="s">
        <v>68</v>
      </c>
      <c r="J5" s="79"/>
      <c r="K5" s="35"/>
      <c r="L5" s="36" t="b">
        <v>0</v>
      </c>
      <c r="M5" s="37" t="s">
        <v>6</v>
      </c>
      <c r="N5" s="38" t="s">
        <v>7</v>
      </c>
      <c r="O5" s="37"/>
    </row>
    <row r="6">
      <c r="A6" s="39" t="s">
        <v>2</v>
      </c>
      <c r="B6" s="40" t="s">
        <v>68</v>
      </c>
      <c r="C6" s="41" t="s">
        <v>59</v>
      </c>
      <c r="D6" s="56" t="s">
        <v>59</v>
      </c>
      <c r="E6" s="43" t="s">
        <v>70</v>
      </c>
      <c r="F6" s="41" t="s">
        <v>58</v>
      </c>
      <c r="G6" s="157">
        <f>G5</f>
        <v>255196.438</v>
      </c>
      <c r="H6" s="45" t="str">
        <f>VLOOKUP(B6,'Marzo Data'!A:D,4,FALSE)</f>
        <v>UESP1658</v>
      </c>
      <c r="I6" s="85" t="s">
        <v>68</v>
      </c>
      <c r="J6" s="79"/>
      <c r="K6" s="35"/>
      <c r="L6" s="36" t="b">
        <v>0</v>
      </c>
      <c r="M6" s="37" t="s">
        <v>10</v>
      </c>
      <c r="N6" s="38" t="s">
        <v>11</v>
      </c>
      <c r="O6" s="37"/>
    </row>
    <row r="7">
      <c r="A7" s="28" t="s">
        <v>38</v>
      </c>
      <c r="B7" s="27" t="s">
        <v>76</v>
      </c>
      <c r="C7" s="28" t="s">
        <v>58</v>
      </c>
      <c r="D7" s="29" t="s">
        <v>69</v>
      </c>
      <c r="E7" s="30" t="s">
        <v>77</v>
      </c>
      <c r="F7" s="28" t="s">
        <v>146</v>
      </c>
      <c r="G7" s="156">
        <v>7.6359129E7</v>
      </c>
      <c r="H7" s="32" t="str">
        <f>VLOOKUP(B7,'Marzo Data'!A:D,4,FALSE)</f>
        <v>#N/A</v>
      </c>
      <c r="I7" s="106"/>
      <c r="J7" s="106" t="s">
        <v>147</v>
      </c>
      <c r="K7" s="35"/>
      <c r="L7" s="36" t="b">
        <v>0</v>
      </c>
      <c r="O7" s="37"/>
    </row>
    <row r="8">
      <c r="A8" s="41" t="s">
        <v>38</v>
      </c>
      <c r="B8" s="40" t="s">
        <v>76</v>
      </c>
      <c r="C8" s="41" t="s">
        <v>72</v>
      </c>
      <c r="D8" s="42" t="s">
        <v>69</v>
      </c>
      <c r="E8" s="43" t="s">
        <v>77</v>
      </c>
      <c r="F8" s="41" t="s">
        <v>73</v>
      </c>
      <c r="G8" s="157">
        <f>SUMIFS('Marzo Data'!C:C,'Marzo Data'!A:A,B8,'Marzo Data'!B:B,F8)</f>
        <v>0</v>
      </c>
      <c r="H8" s="45" t="str">
        <f>VLOOKUP(B8,'Marzo Data'!A:D,4,FALSE)</f>
        <v>#N/A</v>
      </c>
      <c r="I8" s="79"/>
      <c r="J8" s="79"/>
      <c r="K8" s="35"/>
      <c r="L8" s="36" t="b">
        <v>1</v>
      </c>
      <c r="M8" s="41" t="s">
        <v>38</v>
      </c>
      <c r="O8" s="37"/>
    </row>
    <row r="9">
      <c r="A9" s="50" t="s">
        <v>38</v>
      </c>
      <c r="B9" s="40" t="s">
        <v>76</v>
      </c>
      <c r="C9" s="41" t="s">
        <v>72</v>
      </c>
      <c r="D9" s="50" t="s">
        <v>69</v>
      </c>
      <c r="E9" s="51" t="s">
        <v>77</v>
      </c>
      <c r="F9" s="50" t="s">
        <v>74</v>
      </c>
      <c r="G9" s="158">
        <f>G8+G7</f>
        <v>76359129</v>
      </c>
      <c r="H9" s="53" t="str">
        <f>VLOOKUP(B9,'Marzo Data'!A:D,4,FALSE)</f>
        <v>#N/A</v>
      </c>
      <c r="I9" s="78"/>
      <c r="J9" s="78"/>
      <c r="K9" s="35"/>
      <c r="L9" s="36" t="b">
        <v>0</v>
      </c>
      <c r="O9" s="37"/>
    </row>
    <row r="10">
      <c r="A10" s="60" t="s">
        <v>38</v>
      </c>
      <c r="B10" s="40" t="s">
        <v>76</v>
      </c>
      <c r="C10" s="41" t="s">
        <v>59</v>
      </c>
      <c r="D10" s="56" t="s">
        <v>59</v>
      </c>
      <c r="E10" s="43" t="s">
        <v>77</v>
      </c>
      <c r="F10" s="41" t="s">
        <v>75</v>
      </c>
      <c r="G10" s="157">
        <f>G9*5%</f>
        <v>3817956.45</v>
      </c>
      <c r="H10" s="45" t="str">
        <f>VLOOKUP(B10,'Marzo Data'!A:D,4,FALSE)</f>
        <v>#N/A</v>
      </c>
      <c r="I10" s="79"/>
      <c r="J10" s="79"/>
      <c r="K10" s="35"/>
      <c r="L10" s="36" t="b">
        <v>0</v>
      </c>
      <c r="O10" s="37"/>
    </row>
    <row r="11">
      <c r="A11" s="60" t="s">
        <v>38</v>
      </c>
      <c r="B11" s="40" t="s">
        <v>76</v>
      </c>
      <c r="C11" s="41" t="s">
        <v>59</v>
      </c>
      <c r="D11" s="56" t="s">
        <v>59</v>
      </c>
      <c r="E11" s="43" t="s">
        <v>77</v>
      </c>
      <c r="F11" s="41" t="s">
        <v>58</v>
      </c>
      <c r="G11" s="157">
        <f>G10</f>
        <v>3817956.45</v>
      </c>
      <c r="H11" s="45" t="str">
        <f>VLOOKUP(B11,'Marzo Data'!A:D,4,FALSE)</f>
        <v>#N/A</v>
      </c>
      <c r="I11" s="79"/>
      <c r="J11" s="79"/>
      <c r="K11" s="35"/>
      <c r="L11" s="36" t="b">
        <v>0</v>
      </c>
      <c r="O11" s="37"/>
    </row>
    <row r="12">
      <c r="A12" s="28" t="s">
        <v>4</v>
      </c>
      <c r="B12" s="27" t="s">
        <v>78</v>
      </c>
      <c r="C12" s="28" t="s">
        <v>58</v>
      </c>
      <c r="D12" s="29" t="s">
        <v>69</v>
      </c>
      <c r="E12" s="30" t="s">
        <v>79</v>
      </c>
      <c r="F12" s="135" t="s">
        <v>71</v>
      </c>
      <c r="G12" s="159">
        <f>SUMIFS('Marzo Data'!C:C,'Marzo Data'!A:A,B12,'Marzo Data'!B:B,F12)</f>
        <v>4058738.19</v>
      </c>
      <c r="H12" s="63" t="str">
        <f>VLOOKUP(B12,'Marzo Data'!A:D,4,FALSE)</f>
        <v>UESP1665</v>
      </c>
      <c r="I12" s="85" t="s">
        <v>148</v>
      </c>
      <c r="J12" s="85">
        <f>J2+1</f>
        <v>643</v>
      </c>
      <c r="K12" s="35"/>
      <c r="L12" s="36" t="b">
        <v>0</v>
      </c>
      <c r="M12" s="37" t="s">
        <v>12</v>
      </c>
      <c r="N12" s="38" t="s">
        <v>13</v>
      </c>
      <c r="O12" s="37"/>
    </row>
    <row r="13">
      <c r="A13" s="41" t="s">
        <v>4</v>
      </c>
      <c r="B13" s="40" t="s">
        <v>78</v>
      </c>
      <c r="C13" s="41" t="s">
        <v>72</v>
      </c>
      <c r="D13" s="42" t="s">
        <v>69</v>
      </c>
      <c r="E13" s="43" t="s">
        <v>79</v>
      </c>
      <c r="F13" s="56" t="s">
        <v>73</v>
      </c>
      <c r="G13" s="160">
        <f>SUMIFS('Marzo Data'!C:C,'Marzo Data'!A:A,B13,'Marzo Data'!B:B,F13)</f>
        <v>49606.16</v>
      </c>
      <c r="H13" s="66" t="str">
        <f>VLOOKUP(B13,'Marzo Data'!A:D,4,FALSE)</f>
        <v>UESP1665</v>
      </c>
      <c r="I13" s="161" t="s">
        <v>149</v>
      </c>
      <c r="J13" s="79"/>
      <c r="K13" s="35"/>
      <c r="L13" s="36" t="b">
        <v>0</v>
      </c>
      <c r="M13" s="37" t="s">
        <v>40</v>
      </c>
      <c r="N13" s="38" t="s">
        <v>41</v>
      </c>
      <c r="O13" s="37"/>
    </row>
    <row r="14">
      <c r="A14" s="71" t="s">
        <v>4</v>
      </c>
      <c r="B14" s="70" t="s">
        <v>78</v>
      </c>
      <c r="C14" s="71" t="s">
        <v>72</v>
      </c>
      <c r="D14" s="72" t="s">
        <v>69</v>
      </c>
      <c r="E14" s="73"/>
      <c r="F14" s="81" t="s">
        <v>80</v>
      </c>
      <c r="G14" s="160">
        <f>(G12+G13)*4%</f>
        <v>164333.774</v>
      </c>
      <c r="H14" s="66" t="str">
        <f>VLOOKUP(B14,'Marzo Data'!A:D,4,FALSE)</f>
        <v>UESP1665</v>
      </c>
      <c r="I14" s="161" t="s">
        <v>149</v>
      </c>
      <c r="J14" s="83"/>
      <c r="K14" s="35"/>
      <c r="L14" s="36" t="b">
        <v>0</v>
      </c>
      <c r="M14" s="37" t="s">
        <v>14</v>
      </c>
      <c r="N14" s="38" t="s">
        <v>15</v>
      </c>
      <c r="O14" s="37"/>
    </row>
    <row r="15">
      <c r="A15" s="50" t="s">
        <v>4</v>
      </c>
      <c r="B15" s="40" t="s">
        <v>78</v>
      </c>
      <c r="C15" s="41" t="s">
        <v>72</v>
      </c>
      <c r="D15" s="50" t="s">
        <v>69</v>
      </c>
      <c r="E15" s="51" t="s">
        <v>79</v>
      </c>
      <c r="F15" s="50" t="s">
        <v>74</v>
      </c>
      <c r="G15" s="158">
        <f>G12+G13-G14</f>
        <v>3944010.576</v>
      </c>
      <c r="H15" s="53" t="str">
        <f>VLOOKUP(B15,'Marzo Data'!A:D,4,FALSE)</f>
        <v>UESP1665</v>
      </c>
      <c r="I15" s="78"/>
      <c r="J15" s="78"/>
      <c r="K15" s="35"/>
      <c r="L15" s="36" t="b">
        <v>0</v>
      </c>
      <c r="M15" s="37" t="s">
        <v>16</v>
      </c>
      <c r="N15" s="38" t="s">
        <v>17</v>
      </c>
      <c r="O15" s="37"/>
    </row>
    <row r="16">
      <c r="A16" s="37" t="s">
        <v>4</v>
      </c>
      <c r="B16" s="40" t="s">
        <v>78</v>
      </c>
      <c r="C16" s="41" t="s">
        <v>59</v>
      </c>
      <c r="D16" s="56" t="s">
        <v>59</v>
      </c>
      <c r="E16" s="43" t="s">
        <v>79</v>
      </c>
      <c r="F16" s="41" t="s">
        <v>75</v>
      </c>
      <c r="G16" s="157">
        <f>G15*5%</f>
        <v>197200.5288</v>
      </c>
      <c r="H16" s="45" t="str">
        <f>VLOOKUP(B16,'Marzo Data'!A:D,4,FALSE)</f>
        <v>UESP1665</v>
      </c>
      <c r="I16" s="161" t="s">
        <v>149</v>
      </c>
      <c r="J16" s="79"/>
      <c r="K16" s="35"/>
      <c r="L16" s="36" t="b">
        <v>0</v>
      </c>
      <c r="M16" s="37" t="s">
        <v>42</v>
      </c>
      <c r="N16" s="38" t="s">
        <v>43</v>
      </c>
      <c r="O16" s="37"/>
    </row>
    <row r="17">
      <c r="A17" s="80" t="s">
        <v>4</v>
      </c>
      <c r="B17" s="70" t="s">
        <v>78</v>
      </c>
      <c r="C17" s="71" t="s">
        <v>59</v>
      </c>
      <c r="D17" s="81" t="s">
        <v>59</v>
      </c>
      <c r="E17" s="73" t="s">
        <v>79</v>
      </c>
      <c r="F17" s="71" t="s">
        <v>58</v>
      </c>
      <c r="G17" s="162">
        <f>G16</f>
        <v>197200.5288</v>
      </c>
      <c r="H17" s="82" t="str">
        <f>VLOOKUP(B17,'Marzo Data'!A:D,4,FALSE)</f>
        <v>UESP1665</v>
      </c>
      <c r="I17" s="161" t="s">
        <v>149</v>
      </c>
      <c r="J17" s="83"/>
      <c r="K17" s="35"/>
      <c r="L17" s="36" t="b">
        <v>0</v>
      </c>
      <c r="M17" s="37" t="s">
        <v>18</v>
      </c>
      <c r="N17" s="38" t="s">
        <v>19</v>
      </c>
      <c r="O17" s="37"/>
    </row>
    <row r="18" ht="16.5" customHeight="1">
      <c r="A18" s="28" t="s">
        <v>6</v>
      </c>
      <c r="B18" s="27" t="s">
        <v>135</v>
      </c>
      <c r="C18" s="28" t="s">
        <v>58</v>
      </c>
      <c r="D18" s="29" t="s">
        <v>69</v>
      </c>
      <c r="E18" s="30" t="s">
        <v>82</v>
      </c>
      <c r="F18" s="135" t="s">
        <v>71</v>
      </c>
      <c r="G18" s="156">
        <f>SUMIFS('Marzo Data'!C:C,'Marzo Data'!A:A,B18,'Marzo Data'!B:B,F18)</f>
        <v>7222564.46</v>
      </c>
      <c r="H18" s="32" t="str">
        <f>VLOOKUP(B18,'Marzo Data'!A:D,4,FALSE)</f>
        <v>UESP1660</v>
      </c>
      <c r="I18" s="85" t="s">
        <v>141</v>
      </c>
      <c r="J18" s="85">
        <f>J12+1</f>
        <v>644</v>
      </c>
      <c r="K18" s="35"/>
      <c r="L18" s="36" t="b">
        <v>0</v>
      </c>
      <c r="M18" s="37" t="s">
        <v>20</v>
      </c>
      <c r="N18" s="38" t="s">
        <v>21</v>
      </c>
      <c r="O18" s="37"/>
    </row>
    <row r="19" ht="16.5" customHeight="1">
      <c r="A19" s="71" t="s">
        <v>6</v>
      </c>
      <c r="B19" s="70" t="s">
        <v>135</v>
      </c>
      <c r="C19" s="71" t="s">
        <v>72</v>
      </c>
      <c r="D19" s="72" t="s">
        <v>69</v>
      </c>
      <c r="E19" s="73" t="s">
        <v>82</v>
      </c>
      <c r="F19" s="81" t="s">
        <v>73</v>
      </c>
      <c r="G19" s="162">
        <f>SUMIFS('Marzo Data'!C:C,'Marzo Data'!A:A,B19,'Marzo Data'!B:B,F19)</f>
        <v>0</v>
      </c>
      <c r="H19" s="82" t="str">
        <f>VLOOKUP(B19,'Marzo Data'!A:D,4,FALSE)</f>
        <v>UESP1660</v>
      </c>
      <c r="I19" s="87" t="s">
        <v>141</v>
      </c>
      <c r="J19" s="87"/>
      <c r="K19" s="35"/>
      <c r="L19" s="36" t="b">
        <v>0</v>
      </c>
      <c r="M19" s="37" t="s">
        <v>22</v>
      </c>
      <c r="N19" s="38" t="s">
        <v>23</v>
      </c>
      <c r="O19" s="37"/>
    </row>
    <row r="20" ht="16.5" customHeight="1">
      <c r="A20" s="50" t="s">
        <v>6</v>
      </c>
      <c r="B20" s="40" t="s">
        <v>135</v>
      </c>
      <c r="C20" s="41" t="s">
        <v>72</v>
      </c>
      <c r="D20" s="50" t="s">
        <v>69</v>
      </c>
      <c r="E20" s="51" t="s">
        <v>82</v>
      </c>
      <c r="F20" s="50" t="s">
        <v>74</v>
      </c>
      <c r="G20" s="158">
        <f>G19+G18</f>
        <v>7222564.46</v>
      </c>
      <c r="H20" s="53" t="str">
        <f>VLOOKUP(B20,'Marzo Data'!A:D,4,FALSE)</f>
        <v>UESP1660</v>
      </c>
      <c r="I20" s="78"/>
      <c r="J20" s="78"/>
      <c r="K20" s="35"/>
      <c r="L20" s="36" t="b">
        <v>0</v>
      </c>
      <c r="M20" s="37" t="s">
        <v>24</v>
      </c>
      <c r="N20" s="38" t="s">
        <v>25</v>
      </c>
      <c r="O20" s="37"/>
    </row>
    <row r="21" ht="16.5" customHeight="1">
      <c r="A21" s="84" t="s">
        <v>6</v>
      </c>
      <c r="B21" s="27" t="s">
        <v>135</v>
      </c>
      <c r="C21" s="28" t="s">
        <v>59</v>
      </c>
      <c r="D21" s="56" t="s">
        <v>59</v>
      </c>
      <c r="E21" s="88"/>
      <c r="F21" s="41" t="s">
        <v>75</v>
      </c>
      <c r="G21" s="157">
        <f>G20*5%</f>
        <v>361128.223</v>
      </c>
      <c r="H21" s="45" t="str">
        <f>VLOOKUP(B21,'Marzo Data'!A:D,4,FALSE)</f>
        <v>UESP1660</v>
      </c>
      <c r="I21" s="85" t="s">
        <v>141</v>
      </c>
      <c r="J21" s="85"/>
      <c r="K21" s="35"/>
      <c r="L21" s="36" t="b">
        <v>0</v>
      </c>
      <c r="M21" s="37" t="s">
        <v>26</v>
      </c>
      <c r="N21" s="38" t="s">
        <v>27</v>
      </c>
      <c r="O21" s="37"/>
    </row>
    <row r="22" ht="16.5" customHeight="1">
      <c r="A22" s="36" t="s">
        <v>6</v>
      </c>
      <c r="B22" s="40" t="s">
        <v>135</v>
      </c>
      <c r="C22" s="41" t="s">
        <v>59</v>
      </c>
      <c r="D22" s="56" t="s">
        <v>59</v>
      </c>
      <c r="E22" s="88"/>
      <c r="F22" s="41" t="s">
        <v>58</v>
      </c>
      <c r="G22" s="157">
        <f>G21</f>
        <v>361128.223</v>
      </c>
      <c r="H22" s="45" t="str">
        <f>VLOOKUP(B22,'Marzo Data'!A:D,4,FALSE)</f>
        <v>UESP1660</v>
      </c>
      <c r="I22" s="89" t="s">
        <v>141</v>
      </c>
      <c r="J22" s="89"/>
      <c r="K22" s="35"/>
      <c r="L22" s="36" t="b">
        <v>0</v>
      </c>
      <c r="M22" s="37" t="s">
        <v>28</v>
      </c>
      <c r="N22" s="38" t="s">
        <v>29</v>
      </c>
      <c r="O22" s="37"/>
    </row>
    <row r="23">
      <c r="A23" s="28" t="s">
        <v>10</v>
      </c>
      <c r="B23" s="27" t="s">
        <v>83</v>
      </c>
      <c r="C23" s="28" t="s">
        <v>58</v>
      </c>
      <c r="D23" s="29" t="s">
        <v>69</v>
      </c>
      <c r="E23" s="30" t="s">
        <v>84</v>
      </c>
      <c r="F23" s="135" t="s">
        <v>71</v>
      </c>
      <c r="G23" s="156">
        <f>SUMIFS('Marzo Data'!C:C,'Marzo Data'!A:A,B23,'Marzo Data'!B:B,F23)</f>
        <v>6007095.02</v>
      </c>
      <c r="H23" s="32" t="str">
        <f>VLOOKUP(B23,'Marzo Data'!A:D,4,FALSE)</f>
        <v>UESP1656</v>
      </c>
      <c r="I23" s="85" t="s">
        <v>150</v>
      </c>
      <c r="J23" s="85">
        <f>J18+1</f>
        <v>645</v>
      </c>
      <c r="K23" s="35"/>
      <c r="L23" s="36" t="b">
        <v>0</v>
      </c>
      <c r="M23" s="37" t="s">
        <v>30</v>
      </c>
      <c r="N23" s="38" t="s">
        <v>31</v>
      </c>
      <c r="O23" s="37"/>
    </row>
    <row r="24">
      <c r="A24" s="71" t="s">
        <v>10</v>
      </c>
      <c r="B24" s="70" t="s">
        <v>83</v>
      </c>
      <c r="C24" s="71" t="s">
        <v>72</v>
      </c>
      <c r="D24" s="72" t="s">
        <v>69</v>
      </c>
      <c r="E24" s="73" t="s">
        <v>84</v>
      </c>
      <c r="F24" s="81" t="s">
        <v>73</v>
      </c>
      <c r="G24" s="162">
        <f>SUMIFS('Marzo Data'!C:C,'Marzo Data'!A:A,B24,'Marzo Data'!B:B,F24)</f>
        <v>0</v>
      </c>
      <c r="H24" s="82" t="str">
        <f>VLOOKUP(B24,'Marzo Data'!A:D,4,FALSE)</f>
        <v>UESP1656</v>
      </c>
      <c r="I24" s="87" t="s">
        <v>150</v>
      </c>
      <c r="J24" s="83"/>
      <c r="K24" s="35"/>
      <c r="L24" s="36" t="b">
        <v>0</v>
      </c>
      <c r="M24" s="37" t="s">
        <v>32</v>
      </c>
      <c r="N24" s="38" t="s">
        <v>33</v>
      </c>
      <c r="O24" s="37"/>
    </row>
    <row r="25">
      <c r="A25" s="50" t="s">
        <v>10</v>
      </c>
      <c r="B25" s="40" t="s">
        <v>83</v>
      </c>
      <c r="C25" s="41" t="s">
        <v>72</v>
      </c>
      <c r="D25" s="50" t="s">
        <v>69</v>
      </c>
      <c r="E25" s="51" t="s">
        <v>84</v>
      </c>
      <c r="F25" s="50" t="s">
        <v>74</v>
      </c>
      <c r="G25" s="158">
        <f>G24+G23</f>
        <v>6007095.02</v>
      </c>
      <c r="H25" s="53" t="str">
        <f>VLOOKUP(B25,'Marzo Data'!A:D,4,FALSE)</f>
        <v>UESP1656</v>
      </c>
      <c r="I25" s="78"/>
      <c r="J25" s="78"/>
      <c r="K25" s="35"/>
      <c r="L25" s="36" t="b">
        <v>0</v>
      </c>
      <c r="M25" s="37" t="s">
        <v>34</v>
      </c>
      <c r="N25" s="38" t="s">
        <v>35</v>
      </c>
      <c r="O25" s="37"/>
    </row>
    <row r="26">
      <c r="A26" s="91" t="s">
        <v>10</v>
      </c>
      <c r="B26" s="27" t="s">
        <v>83</v>
      </c>
      <c r="C26" s="28" t="s">
        <v>59</v>
      </c>
      <c r="D26" s="56" t="s">
        <v>59</v>
      </c>
      <c r="E26" s="88"/>
      <c r="F26" s="41" t="s">
        <v>75</v>
      </c>
      <c r="G26" s="157">
        <f>G25*5%</f>
        <v>300354.751</v>
      </c>
      <c r="H26" s="45" t="str">
        <f>VLOOKUP(B26,'Marzo Data'!A:D,4,FALSE)</f>
        <v>UESP1656</v>
      </c>
      <c r="I26" s="85" t="s">
        <v>150</v>
      </c>
      <c r="J26" s="92"/>
      <c r="K26" s="35"/>
      <c r="L26" s="36" t="b">
        <v>0</v>
      </c>
      <c r="M26" s="37" t="s">
        <v>44</v>
      </c>
      <c r="N26" s="38" t="s">
        <v>45</v>
      </c>
      <c r="O26" s="37"/>
    </row>
    <row r="27">
      <c r="A27" s="80" t="s">
        <v>10</v>
      </c>
      <c r="B27" s="70" t="s">
        <v>83</v>
      </c>
      <c r="C27" s="71" t="s">
        <v>59</v>
      </c>
      <c r="D27" s="81" t="s">
        <v>59</v>
      </c>
      <c r="E27" s="88"/>
      <c r="F27" s="71" t="s">
        <v>58</v>
      </c>
      <c r="G27" s="162">
        <f>G26</f>
        <v>300354.751</v>
      </c>
      <c r="H27" s="82" t="str">
        <f>VLOOKUP(B27,'Marzo Data'!A:D,4,FALSE)</f>
        <v>UESP1656</v>
      </c>
      <c r="I27" s="87" t="s">
        <v>150</v>
      </c>
      <c r="J27" s="83"/>
      <c r="K27" s="35"/>
      <c r="L27" s="36" t="b">
        <v>0</v>
      </c>
      <c r="M27" s="80" t="s">
        <v>36</v>
      </c>
      <c r="N27" s="90" t="s">
        <v>37</v>
      </c>
      <c r="O27" s="37"/>
    </row>
    <row r="28">
      <c r="A28" s="28" t="s">
        <v>12</v>
      </c>
      <c r="B28" s="27" t="s">
        <v>85</v>
      </c>
      <c r="C28" s="28" t="s">
        <v>58</v>
      </c>
      <c r="D28" s="29" t="s">
        <v>69</v>
      </c>
      <c r="E28" s="30" t="s">
        <v>86</v>
      </c>
      <c r="F28" s="135" t="s">
        <v>71</v>
      </c>
      <c r="G28" s="156">
        <f>SUMIFS('Marzo Data'!C:C,'Marzo Data'!A:A,B28,'Marzo Data'!B:B,F28)</f>
        <v>2558003.31</v>
      </c>
      <c r="H28" s="32" t="str">
        <f>VLOOKUP(B28,'Marzo Data'!A:D,4,FALSE)</f>
        <v>UESP1651</v>
      </c>
      <c r="I28" s="85" t="s">
        <v>85</v>
      </c>
      <c r="J28" s="85">
        <f>J23+1</f>
        <v>646</v>
      </c>
      <c r="K28" s="93"/>
      <c r="O28" s="37"/>
    </row>
    <row r="29">
      <c r="A29" s="71" t="s">
        <v>12</v>
      </c>
      <c r="B29" s="70" t="s">
        <v>85</v>
      </c>
      <c r="C29" s="71" t="s">
        <v>72</v>
      </c>
      <c r="D29" s="72" t="s">
        <v>69</v>
      </c>
      <c r="E29" s="73" t="s">
        <v>86</v>
      </c>
      <c r="F29" s="81" t="s">
        <v>73</v>
      </c>
      <c r="G29" s="162">
        <f>SUMIFS('Marzo Data'!C:C,'Marzo Data'!A:A,B29,'Marzo Data'!B:B,F29)</f>
        <v>85515.56</v>
      </c>
      <c r="H29" s="82" t="str">
        <f>VLOOKUP(B29,'Marzo Data'!A:D,4,FALSE)</f>
        <v>UESP1651</v>
      </c>
      <c r="I29" s="87" t="s">
        <v>85</v>
      </c>
      <c r="J29" s="83"/>
      <c r="K29" s="35"/>
      <c r="O29" s="37"/>
    </row>
    <row r="30">
      <c r="A30" s="50" t="s">
        <v>12</v>
      </c>
      <c r="B30" s="40" t="s">
        <v>85</v>
      </c>
      <c r="C30" s="41" t="s">
        <v>72</v>
      </c>
      <c r="D30" s="50" t="s">
        <v>69</v>
      </c>
      <c r="E30" s="51" t="s">
        <v>86</v>
      </c>
      <c r="F30" s="50" t="s">
        <v>74</v>
      </c>
      <c r="G30" s="158">
        <f>G29+G28</f>
        <v>2643518.87</v>
      </c>
      <c r="H30" s="53" t="str">
        <f>VLOOKUP(B30,'Marzo Data'!A:D,4,FALSE)</f>
        <v>UESP1651</v>
      </c>
      <c r="I30" s="78"/>
      <c r="J30" s="78"/>
      <c r="K30" s="35"/>
      <c r="O30" s="37"/>
    </row>
    <row r="31">
      <c r="A31" s="91" t="s">
        <v>12</v>
      </c>
      <c r="B31" s="27" t="s">
        <v>85</v>
      </c>
      <c r="C31" s="28" t="s">
        <v>59</v>
      </c>
      <c r="D31" s="56" t="s">
        <v>59</v>
      </c>
      <c r="E31" s="88"/>
      <c r="F31" s="41" t="s">
        <v>75</v>
      </c>
      <c r="G31" s="157">
        <f>G30*5%</f>
        <v>132175.9435</v>
      </c>
      <c r="H31" s="45" t="str">
        <f>VLOOKUP(B31,'Marzo Data'!A:D,4,FALSE)</f>
        <v>UESP1651</v>
      </c>
      <c r="I31" s="85" t="s">
        <v>85</v>
      </c>
      <c r="J31" s="92"/>
      <c r="K31" s="35"/>
      <c r="O31" s="37"/>
    </row>
    <row r="32">
      <c r="A32" s="80" t="s">
        <v>12</v>
      </c>
      <c r="B32" s="70" t="s">
        <v>85</v>
      </c>
      <c r="C32" s="71" t="s">
        <v>59</v>
      </c>
      <c r="D32" s="81" t="s">
        <v>59</v>
      </c>
      <c r="E32" s="88"/>
      <c r="F32" s="71" t="s">
        <v>58</v>
      </c>
      <c r="G32" s="162">
        <f>G31</f>
        <v>132175.9435</v>
      </c>
      <c r="H32" s="82" t="str">
        <f>VLOOKUP(B32,'Marzo Data'!A:D,4,FALSE)</f>
        <v>UESP1651</v>
      </c>
      <c r="I32" s="87" t="s">
        <v>85</v>
      </c>
      <c r="J32" s="83"/>
      <c r="K32" s="35"/>
      <c r="O32" s="37"/>
    </row>
    <row r="33">
      <c r="A33" s="28" t="s">
        <v>40</v>
      </c>
      <c r="B33" s="27" t="s">
        <v>87</v>
      </c>
      <c r="C33" s="28" t="s">
        <v>58</v>
      </c>
      <c r="D33" s="28" t="s">
        <v>69</v>
      </c>
      <c r="E33" s="30" t="s">
        <v>82</v>
      </c>
      <c r="F33" s="28" t="s">
        <v>71</v>
      </c>
      <c r="G33" s="156">
        <f>SUMIFS('Marzo Data'!C:C,'Marzo Data'!A:A,B33,'Marzo Data'!B:B,F33)</f>
        <v>14787227.26</v>
      </c>
      <c r="H33" s="32" t="str">
        <f>VLOOKUP(B33,'Marzo Data'!A:D,4,FALSE)</f>
        <v>UESP1668</v>
      </c>
      <c r="I33" s="85" t="s">
        <v>151</v>
      </c>
      <c r="J33" s="85">
        <f>J28+1</f>
        <v>647</v>
      </c>
      <c r="K33" s="35"/>
      <c r="O33" s="80"/>
    </row>
    <row r="34">
      <c r="A34" s="71" t="s">
        <v>40</v>
      </c>
      <c r="B34" s="70" t="s">
        <v>87</v>
      </c>
      <c r="C34" s="71" t="s">
        <v>72</v>
      </c>
      <c r="D34" s="72" t="s">
        <v>69</v>
      </c>
      <c r="E34" s="73" t="s">
        <v>82</v>
      </c>
      <c r="F34" s="71" t="s">
        <v>73</v>
      </c>
      <c r="G34" s="162">
        <f>SUMIFS('Marzo Data'!C:C,'Marzo Data'!A:A,B34,'Marzo Data'!B:B,F34)</f>
        <v>374604.73</v>
      </c>
      <c r="H34" s="82" t="str">
        <f>VLOOKUP(B34,'Marzo Data'!A:D,4,FALSE)</f>
        <v>UESP1668</v>
      </c>
      <c r="I34" s="85" t="s">
        <v>151</v>
      </c>
      <c r="J34" s="83"/>
      <c r="K34" s="35"/>
    </row>
    <row r="35">
      <c r="A35" s="50" t="s">
        <v>40</v>
      </c>
      <c r="B35" s="40" t="s">
        <v>87</v>
      </c>
      <c r="C35" s="41" t="s">
        <v>72</v>
      </c>
      <c r="D35" s="50" t="s">
        <v>69</v>
      </c>
      <c r="E35" s="51" t="s">
        <v>82</v>
      </c>
      <c r="F35" s="50" t="s">
        <v>74</v>
      </c>
      <c r="G35" s="158">
        <f>G34+G33</f>
        <v>15161831.99</v>
      </c>
      <c r="H35" s="53" t="str">
        <f>VLOOKUP(B35,'Marzo Data'!A:D,4,FALSE)</f>
        <v>UESP1668</v>
      </c>
      <c r="I35" s="78"/>
      <c r="J35" s="78"/>
      <c r="K35" s="35"/>
    </row>
    <row r="36">
      <c r="A36" s="94" t="s">
        <v>40</v>
      </c>
      <c r="B36" s="27" t="s">
        <v>87</v>
      </c>
      <c r="C36" s="28" t="s">
        <v>59</v>
      </c>
      <c r="D36" s="56" t="s">
        <v>59</v>
      </c>
      <c r="E36" s="88"/>
      <c r="F36" s="41" t="s">
        <v>75</v>
      </c>
      <c r="G36" s="157">
        <f>G35*5%</f>
        <v>758091.5995</v>
      </c>
      <c r="H36" s="45" t="str">
        <f>VLOOKUP(B36,'Marzo Data'!A:D,4,FALSE)</f>
        <v>UESP1668</v>
      </c>
      <c r="I36" s="85" t="s">
        <v>151</v>
      </c>
      <c r="J36" s="92"/>
      <c r="K36" s="35"/>
    </row>
    <row r="37">
      <c r="A37" s="96" t="s">
        <v>40</v>
      </c>
      <c r="B37" s="70" t="s">
        <v>87</v>
      </c>
      <c r="C37" s="71" t="s">
        <v>59</v>
      </c>
      <c r="D37" s="81" t="s">
        <v>59</v>
      </c>
      <c r="E37" s="88"/>
      <c r="F37" s="71" t="s">
        <v>58</v>
      </c>
      <c r="G37" s="162">
        <f>G36</f>
        <v>758091.5995</v>
      </c>
      <c r="H37" s="82" t="str">
        <f>VLOOKUP(B37,'Marzo Data'!A:D,4,FALSE)</f>
        <v>UESP1668</v>
      </c>
      <c r="I37" s="85" t="s">
        <v>151</v>
      </c>
      <c r="J37" s="83"/>
      <c r="K37" s="35"/>
    </row>
    <row r="38">
      <c r="A38" s="28" t="s">
        <v>14</v>
      </c>
      <c r="B38" s="27" t="s">
        <v>88</v>
      </c>
      <c r="C38" s="28" t="s">
        <v>58</v>
      </c>
      <c r="D38" s="29" t="s">
        <v>69</v>
      </c>
      <c r="E38" s="30" t="s">
        <v>82</v>
      </c>
      <c r="F38" s="135" t="s">
        <v>71</v>
      </c>
      <c r="G38" s="163">
        <f>SUMIFS('Marzo Data'!C:C,'Marzo Data'!A:A,B38,'Marzo Data'!B:B,F38)</f>
        <v>2586674.1</v>
      </c>
      <c r="H38" s="137" t="str">
        <f>VLOOKUP(B38,'Marzo Data'!A:D,4,FALSE)</f>
        <v>UESP1667</v>
      </c>
      <c r="I38" s="85" t="s">
        <v>88</v>
      </c>
      <c r="J38" s="85">
        <f>J33+1</f>
        <v>648</v>
      </c>
      <c r="K38" s="35"/>
    </row>
    <row r="39">
      <c r="A39" s="71" t="s">
        <v>14</v>
      </c>
      <c r="B39" s="70" t="s">
        <v>88</v>
      </c>
      <c r="C39" s="71" t="s">
        <v>72</v>
      </c>
      <c r="D39" s="72" t="s">
        <v>69</v>
      </c>
      <c r="E39" s="73" t="s">
        <v>82</v>
      </c>
      <c r="F39" s="81" t="s">
        <v>73</v>
      </c>
      <c r="G39" s="164">
        <f>SUMIFS('Marzo Data'!C:C,'Marzo Data'!A:A,B39,'Marzo Data'!B:B,F39)</f>
        <v>33127.11</v>
      </c>
      <c r="H39" s="143" t="str">
        <f>VLOOKUP(B39,'Marzo Data'!A:D,4,FALSE)</f>
        <v>UESP1667</v>
      </c>
      <c r="I39" s="87" t="s">
        <v>88</v>
      </c>
      <c r="J39" s="83"/>
      <c r="K39" s="35"/>
    </row>
    <row r="40">
      <c r="A40" s="50" t="s">
        <v>14</v>
      </c>
      <c r="B40" s="40" t="s">
        <v>88</v>
      </c>
      <c r="C40" s="41" t="s">
        <v>72</v>
      </c>
      <c r="D40" s="50" t="s">
        <v>69</v>
      </c>
      <c r="E40" s="51" t="s">
        <v>82</v>
      </c>
      <c r="F40" s="50" t="s">
        <v>74</v>
      </c>
      <c r="G40" s="158">
        <f>G39+G38</f>
        <v>2619801.21</v>
      </c>
      <c r="H40" s="53" t="str">
        <f>VLOOKUP(B40,'Marzo Data'!A:D,4,FALSE)</f>
        <v>UESP1667</v>
      </c>
      <c r="I40" s="78"/>
      <c r="J40" s="78"/>
      <c r="K40" s="35"/>
    </row>
    <row r="41">
      <c r="A41" s="91" t="s">
        <v>14</v>
      </c>
      <c r="B41" s="27" t="s">
        <v>88</v>
      </c>
      <c r="C41" s="28" t="s">
        <v>59</v>
      </c>
      <c r="D41" s="56" t="s">
        <v>59</v>
      </c>
      <c r="E41" s="88"/>
      <c r="F41" s="41" t="s">
        <v>75</v>
      </c>
      <c r="G41" s="157">
        <f>G40*5%</f>
        <v>130990.0605</v>
      </c>
      <c r="H41" s="45" t="str">
        <f>VLOOKUP(B41,'Marzo Data'!A:D,4,FALSE)</f>
        <v>UESP1667</v>
      </c>
      <c r="I41" s="85" t="s">
        <v>88</v>
      </c>
      <c r="J41" s="92"/>
      <c r="K41" s="35"/>
    </row>
    <row r="42">
      <c r="A42" s="80" t="s">
        <v>14</v>
      </c>
      <c r="B42" s="70" t="s">
        <v>88</v>
      </c>
      <c r="C42" s="71" t="s">
        <v>59</v>
      </c>
      <c r="D42" s="81" t="s">
        <v>59</v>
      </c>
      <c r="E42" s="88"/>
      <c r="F42" s="71" t="s">
        <v>58</v>
      </c>
      <c r="G42" s="162">
        <f>G41</f>
        <v>130990.0605</v>
      </c>
      <c r="H42" s="82" t="str">
        <f>VLOOKUP(B42,'Marzo Data'!A:D,4,FALSE)</f>
        <v>UESP1667</v>
      </c>
      <c r="I42" s="87" t="s">
        <v>88</v>
      </c>
      <c r="J42" s="83"/>
      <c r="K42" s="35"/>
    </row>
    <row r="43">
      <c r="A43" s="28" t="s">
        <v>16</v>
      </c>
      <c r="B43" s="27" t="s">
        <v>89</v>
      </c>
      <c r="C43" s="28" t="s">
        <v>58</v>
      </c>
      <c r="D43" s="29" t="s">
        <v>69</v>
      </c>
      <c r="E43" s="30" t="s">
        <v>82</v>
      </c>
      <c r="F43" s="135" t="s">
        <v>71</v>
      </c>
      <c r="G43" s="156">
        <f>SUMIFS('Marzo Data'!C:C,'Marzo Data'!A:A,B43,'Marzo Data'!B:B,F43)</f>
        <v>2731068.51</v>
      </c>
      <c r="H43" s="32" t="str">
        <f>VLOOKUP(B43,'Marzo Data'!A:D,4,FALSE)</f>
        <v>UESP1650</v>
      </c>
      <c r="I43" s="85" t="s">
        <v>89</v>
      </c>
      <c r="J43" s="85">
        <f>J38+1</f>
        <v>649</v>
      </c>
      <c r="K43" s="35"/>
    </row>
    <row r="44">
      <c r="A44" s="71" t="s">
        <v>16</v>
      </c>
      <c r="B44" s="70" t="s">
        <v>89</v>
      </c>
      <c r="C44" s="71" t="s">
        <v>58</v>
      </c>
      <c r="D44" s="72" t="s">
        <v>69</v>
      </c>
      <c r="E44" s="73" t="s">
        <v>82</v>
      </c>
      <c r="F44" s="81" t="s">
        <v>73</v>
      </c>
      <c r="G44" s="162">
        <f>SUMIFS('Marzo Data'!C:C,'Marzo Data'!A:A,B44,'Marzo Data'!B:B,F44)</f>
        <v>452973.23</v>
      </c>
      <c r="H44" s="82" t="str">
        <f>VLOOKUP(B44,'Marzo Data'!A:D,4,FALSE)</f>
        <v>UESP1650</v>
      </c>
      <c r="I44" s="87" t="s">
        <v>89</v>
      </c>
      <c r="J44" s="83"/>
      <c r="K44" s="35"/>
    </row>
    <row r="45">
      <c r="A45" s="50" t="s">
        <v>16</v>
      </c>
      <c r="B45" s="40" t="s">
        <v>89</v>
      </c>
      <c r="C45" s="41" t="s">
        <v>58</v>
      </c>
      <c r="D45" s="50" t="s">
        <v>69</v>
      </c>
      <c r="E45" s="51" t="s">
        <v>82</v>
      </c>
      <c r="F45" s="50" t="s">
        <v>74</v>
      </c>
      <c r="G45" s="158">
        <f>G44+G43</f>
        <v>3184041.74</v>
      </c>
      <c r="H45" s="53" t="str">
        <f>VLOOKUP(B45,'Marzo Data'!A:D,4,FALSE)</f>
        <v>UESP1650</v>
      </c>
      <c r="I45" s="78"/>
      <c r="J45" s="78"/>
      <c r="K45" s="35"/>
    </row>
    <row r="46">
      <c r="A46" s="91" t="s">
        <v>16</v>
      </c>
      <c r="B46" s="27" t="s">
        <v>89</v>
      </c>
      <c r="C46" s="28" t="s">
        <v>59</v>
      </c>
      <c r="D46" s="56" t="s">
        <v>59</v>
      </c>
      <c r="E46" s="88"/>
      <c r="F46" s="41" t="s">
        <v>75</v>
      </c>
      <c r="G46" s="157">
        <f>G45*5%</f>
        <v>159202.087</v>
      </c>
      <c r="H46" s="45" t="str">
        <f>VLOOKUP(B46,'Marzo Data'!A:D,4,FALSE)</f>
        <v>UESP1650</v>
      </c>
      <c r="I46" s="85" t="s">
        <v>89</v>
      </c>
      <c r="J46" s="92"/>
      <c r="K46" s="35"/>
    </row>
    <row r="47">
      <c r="A47" s="37" t="s">
        <v>16</v>
      </c>
      <c r="B47" s="40" t="s">
        <v>89</v>
      </c>
      <c r="C47" s="41" t="s">
        <v>59</v>
      </c>
      <c r="D47" s="56" t="s">
        <v>59</v>
      </c>
      <c r="E47" s="88"/>
      <c r="F47" s="41" t="s">
        <v>58</v>
      </c>
      <c r="G47" s="157">
        <f>G46</f>
        <v>159202.087</v>
      </c>
      <c r="H47" s="45" t="str">
        <f>VLOOKUP(B47,'Marzo Data'!A:D,4,FALSE)</f>
        <v>UESP1650</v>
      </c>
      <c r="I47" s="89" t="s">
        <v>89</v>
      </c>
      <c r="J47" s="79"/>
      <c r="K47" s="35"/>
    </row>
    <row r="48">
      <c r="A48" s="28" t="s">
        <v>42</v>
      </c>
      <c r="B48" s="27" t="s">
        <v>90</v>
      </c>
      <c r="C48" s="28" t="s">
        <v>58</v>
      </c>
      <c r="D48" s="29" t="s">
        <v>69</v>
      </c>
      <c r="E48" s="30" t="s">
        <v>82</v>
      </c>
      <c r="F48" s="135" t="s">
        <v>71</v>
      </c>
      <c r="G48" s="159">
        <f>SUMIFS('Marzo Data'!C:C,'Marzo Data'!A:A,B48,'Marzo Data'!B:B,F48)</f>
        <v>3416856.3</v>
      </c>
      <c r="H48" s="63" t="str">
        <f>VLOOKUP(B48,'Marzo Data'!A:D,4,FALSE)</f>
        <v>UESP1664</v>
      </c>
      <c r="I48" s="85" t="s">
        <v>90</v>
      </c>
      <c r="J48" s="85">
        <f>J43+1</f>
        <v>650</v>
      </c>
      <c r="K48" s="35"/>
    </row>
    <row r="49">
      <c r="A49" s="41" t="s">
        <v>42</v>
      </c>
      <c r="B49" s="40" t="s">
        <v>90</v>
      </c>
      <c r="C49" s="41" t="s">
        <v>72</v>
      </c>
      <c r="D49" s="42" t="s">
        <v>69</v>
      </c>
      <c r="E49" s="43" t="s">
        <v>82</v>
      </c>
      <c r="F49" s="56" t="s">
        <v>73</v>
      </c>
      <c r="G49" s="160">
        <f>SUMIFS('Marzo Data'!C:C,'Marzo Data'!A:A,B49,'Marzo Data'!B:B,F49)</f>
        <v>18548.86</v>
      </c>
      <c r="H49" s="66" t="str">
        <f>VLOOKUP(B49,'Marzo Data'!A:D,4,FALSE)</f>
        <v>UESP1664</v>
      </c>
      <c r="I49" s="89" t="s">
        <v>90</v>
      </c>
      <c r="J49" s="79"/>
      <c r="K49" s="35"/>
    </row>
    <row r="50">
      <c r="A50" s="71" t="s">
        <v>42</v>
      </c>
      <c r="B50" s="70" t="s">
        <v>90</v>
      </c>
      <c r="C50" s="71" t="s">
        <v>72</v>
      </c>
      <c r="D50" s="72" t="s">
        <v>69</v>
      </c>
      <c r="E50" s="73"/>
      <c r="F50" s="81" t="s">
        <v>80</v>
      </c>
      <c r="G50" s="160">
        <f>(G48+G49)*4%</f>
        <v>137416.2064</v>
      </c>
      <c r="H50" s="66" t="str">
        <f>VLOOKUP(B50,'Marzo Data'!A:D,4,FALSE)</f>
        <v>UESP1664</v>
      </c>
      <c r="I50" s="87" t="s">
        <v>90</v>
      </c>
      <c r="J50" s="83"/>
      <c r="K50" s="35"/>
    </row>
    <row r="51">
      <c r="A51" s="50" t="s">
        <v>42</v>
      </c>
      <c r="B51" s="40" t="s">
        <v>90</v>
      </c>
      <c r="C51" s="41" t="s">
        <v>72</v>
      </c>
      <c r="D51" s="50" t="s">
        <v>69</v>
      </c>
      <c r="E51" s="51" t="s">
        <v>82</v>
      </c>
      <c r="F51" s="50" t="s">
        <v>74</v>
      </c>
      <c r="G51" s="158">
        <f>G48+G49-G50</f>
        <v>3297988.954</v>
      </c>
      <c r="H51" s="53" t="str">
        <f>VLOOKUP(B51,'Marzo Data'!A:D,4,FALSE)</f>
        <v>UESP1664</v>
      </c>
      <c r="I51" s="78"/>
      <c r="J51" s="78"/>
      <c r="K51" s="35"/>
    </row>
    <row r="52">
      <c r="A52" s="91" t="s">
        <v>42</v>
      </c>
      <c r="B52" s="27" t="s">
        <v>90</v>
      </c>
      <c r="C52" s="28" t="s">
        <v>59</v>
      </c>
      <c r="D52" s="56" t="s">
        <v>59</v>
      </c>
      <c r="E52" s="88"/>
      <c r="F52" s="41" t="s">
        <v>75</v>
      </c>
      <c r="G52" s="157">
        <f>G51*5%</f>
        <v>164899.4477</v>
      </c>
      <c r="H52" s="45" t="str">
        <f>VLOOKUP(B52,'Marzo Data'!A:D,4,FALSE)</f>
        <v>UESP1664</v>
      </c>
      <c r="I52" s="85" t="s">
        <v>90</v>
      </c>
      <c r="J52" s="92"/>
      <c r="K52" s="35"/>
    </row>
    <row r="53">
      <c r="A53" s="37" t="s">
        <v>42</v>
      </c>
      <c r="B53" s="40" t="s">
        <v>90</v>
      </c>
      <c r="C53" s="41" t="s">
        <v>59</v>
      </c>
      <c r="D53" s="56" t="s">
        <v>59</v>
      </c>
      <c r="E53" s="88"/>
      <c r="F53" s="41" t="s">
        <v>58</v>
      </c>
      <c r="G53" s="157">
        <f>G52</f>
        <v>164899.4477</v>
      </c>
      <c r="H53" s="45" t="str">
        <f>VLOOKUP(B53,'Marzo Data'!A:D,4,FALSE)</f>
        <v>UESP1664</v>
      </c>
      <c r="I53" s="89" t="s">
        <v>90</v>
      </c>
      <c r="J53" s="79"/>
      <c r="K53" s="35"/>
    </row>
    <row r="54">
      <c r="A54" s="28" t="s">
        <v>18</v>
      </c>
      <c r="B54" s="27" t="s">
        <v>91</v>
      </c>
      <c r="C54" s="28" t="s">
        <v>58</v>
      </c>
      <c r="D54" s="29" t="s">
        <v>69</v>
      </c>
      <c r="E54" s="30" t="s">
        <v>92</v>
      </c>
      <c r="F54" s="135" t="s">
        <v>71</v>
      </c>
      <c r="G54" s="159">
        <f>SUMIFS('Marzo Data'!C:C,'Marzo Data'!A:A,B54,'Marzo Data'!B:B,F54)</f>
        <v>1537869.3</v>
      </c>
      <c r="H54" s="63" t="str">
        <f>VLOOKUP(B54,'Marzo Data'!A:D,4,FALSE)</f>
        <v>UESP1655</v>
      </c>
      <c r="I54" s="85" t="s">
        <v>91</v>
      </c>
      <c r="J54" s="85">
        <f>J48+1</f>
        <v>651</v>
      </c>
      <c r="K54" s="35"/>
    </row>
    <row r="55">
      <c r="A55" s="41" t="s">
        <v>18</v>
      </c>
      <c r="B55" s="40" t="s">
        <v>91</v>
      </c>
      <c r="C55" s="41" t="s">
        <v>72</v>
      </c>
      <c r="D55" s="42" t="s">
        <v>69</v>
      </c>
      <c r="E55" s="43" t="s">
        <v>92</v>
      </c>
      <c r="F55" s="56" t="s">
        <v>73</v>
      </c>
      <c r="G55" s="160">
        <f>SUMIFS('Marzo Data'!C:C,'Marzo Data'!A:A,B55,'Marzo Data'!B:B,F55)</f>
        <v>21320.48</v>
      </c>
      <c r="H55" s="66" t="str">
        <f>VLOOKUP(B55,'Marzo Data'!A:D,4,FALSE)</f>
        <v>UESP1655</v>
      </c>
      <c r="I55" s="89" t="s">
        <v>91</v>
      </c>
      <c r="J55" s="79"/>
      <c r="K55" s="35"/>
    </row>
    <row r="56">
      <c r="A56" s="71" t="s">
        <v>18</v>
      </c>
      <c r="B56" s="70" t="s">
        <v>91</v>
      </c>
      <c r="C56" s="71" t="s">
        <v>72</v>
      </c>
      <c r="D56" s="72" t="s">
        <v>69</v>
      </c>
      <c r="E56" s="73" t="s">
        <v>92</v>
      </c>
      <c r="F56" s="81" t="s">
        <v>80</v>
      </c>
      <c r="G56" s="160">
        <f>(G54+G55)*2.5%</f>
        <v>38979.7445</v>
      </c>
      <c r="H56" s="66" t="str">
        <f>VLOOKUP(B56,'Marzo Data'!A:D,4,FALSE)</f>
        <v>UESP1655</v>
      </c>
      <c r="I56" s="87" t="s">
        <v>91</v>
      </c>
      <c r="J56" s="83"/>
      <c r="K56" s="35"/>
    </row>
    <row r="57">
      <c r="A57" s="50" t="s">
        <v>18</v>
      </c>
      <c r="B57" s="40" t="s">
        <v>91</v>
      </c>
      <c r="C57" s="41" t="s">
        <v>72</v>
      </c>
      <c r="D57" s="50" t="s">
        <v>69</v>
      </c>
      <c r="E57" s="51" t="s">
        <v>92</v>
      </c>
      <c r="F57" s="50" t="s">
        <v>74</v>
      </c>
      <c r="G57" s="158">
        <f>G54+G55-G56</f>
        <v>1520210.036</v>
      </c>
      <c r="H57" s="53"/>
      <c r="I57" s="78"/>
      <c r="J57" s="78"/>
      <c r="K57" s="35"/>
    </row>
    <row r="58">
      <c r="A58" s="91" t="s">
        <v>18</v>
      </c>
      <c r="B58" s="27" t="s">
        <v>91</v>
      </c>
      <c r="C58" s="28" t="s">
        <v>59</v>
      </c>
      <c r="D58" s="56" t="s">
        <v>59</v>
      </c>
      <c r="E58" s="88"/>
      <c r="F58" s="41" t="s">
        <v>75</v>
      </c>
      <c r="G58" s="157">
        <f>G57*5%</f>
        <v>76010.50178</v>
      </c>
      <c r="H58" s="45" t="str">
        <f>VLOOKUP(B58,'Marzo Data'!A:D,4,FALSE)</f>
        <v>UESP1655</v>
      </c>
      <c r="I58" s="85" t="s">
        <v>91</v>
      </c>
      <c r="J58" s="92"/>
      <c r="K58" s="35"/>
    </row>
    <row r="59">
      <c r="A59" s="37" t="s">
        <v>18</v>
      </c>
      <c r="B59" s="40" t="s">
        <v>91</v>
      </c>
      <c r="C59" s="41" t="s">
        <v>59</v>
      </c>
      <c r="D59" s="56" t="s">
        <v>59</v>
      </c>
      <c r="E59" s="88"/>
      <c r="F59" s="41" t="s">
        <v>58</v>
      </c>
      <c r="G59" s="157">
        <f>G58</f>
        <v>76010.50178</v>
      </c>
      <c r="H59" s="45" t="str">
        <f>VLOOKUP(B59,'Marzo Data'!A:D,4,FALSE)</f>
        <v>UESP1655</v>
      </c>
      <c r="I59" s="89" t="s">
        <v>91</v>
      </c>
      <c r="J59" s="79"/>
      <c r="K59" s="35"/>
    </row>
    <row r="60" ht="15.0" customHeight="1">
      <c r="A60" s="28" t="s">
        <v>20</v>
      </c>
      <c r="B60" s="27" t="s">
        <v>138</v>
      </c>
      <c r="C60" s="28" t="s">
        <v>58</v>
      </c>
      <c r="D60" s="29" t="s">
        <v>69</v>
      </c>
      <c r="E60" s="30" t="s">
        <v>82</v>
      </c>
      <c r="F60" s="135" t="s">
        <v>71</v>
      </c>
      <c r="G60" s="159">
        <f>SUMIFS('Marzo Data'!C:C,'Marzo Data'!A:A,B60,'Marzo Data'!B:B,F60)</f>
        <v>1961033.35</v>
      </c>
      <c r="H60" s="63" t="str">
        <f>VLOOKUP(B60,'Marzo Data'!A:D,4,FALSE)</f>
        <v>UESP1657</v>
      </c>
      <c r="I60" s="85" t="s">
        <v>138</v>
      </c>
      <c r="J60" s="85">
        <f>J54+1</f>
        <v>652</v>
      </c>
      <c r="K60" s="35"/>
    </row>
    <row r="61" ht="14.25" customHeight="1">
      <c r="A61" s="41" t="s">
        <v>20</v>
      </c>
      <c r="B61" s="40" t="s">
        <v>138</v>
      </c>
      <c r="C61" s="41" t="s">
        <v>72</v>
      </c>
      <c r="D61" s="42" t="s">
        <v>69</v>
      </c>
      <c r="E61" s="43" t="s">
        <v>82</v>
      </c>
      <c r="F61" s="56" t="s">
        <v>73</v>
      </c>
      <c r="G61" s="160">
        <f>SUMIFS('Marzo Data'!C:C,'Marzo Data'!A:A,B61,'Marzo Data'!B:B,F61)</f>
        <v>0</v>
      </c>
      <c r="H61" s="66" t="str">
        <f>VLOOKUP(B61,'Marzo Data'!A:D,4,FALSE)</f>
        <v>UESP1657</v>
      </c>
      <c r="I61" s="89" t="s">
        <v>138</v>
      </c>
      <c r="J61" s="79"/>
      <c r="K61" s="35"/>
    </row>
    <row r="62" ht="14.25" customHeight="1">
      <c r="A62" s="71" t="s">
        <v>20</v>
      </c>
      <c r="B62" s="70" t="s">
        <v>138</v>
      </c>
      <c r="C62" s="71" t="s">
        <v>72</v>
      </c>
      <c r="D62" s="72" t="s">
        <v>69</v>
      </c>
      <c r="E62" s="73"/>
      <c r="F62" s="81" t="s">
        <v>80</v>
      </c>
      <c r="G62" s="160">
        <f>(G60+G61)*2.5%</f>
        <v>49025.83375</v>
      </c>
      <c r="H62" s="66" t="str">
        <f>VLOOKUP(B62,'Marzo Data'!A:D,4,FALSE)</f>
        <v>UESP1657</v>
      </c>
      <c r="I62" s="87" t="s">
        <v>138</v>
      </c>
      <c r="J62" s="83"/>
      <c r="K62" s="35"/>
    </row>
    <row r="63" ht="13.5" customHeight="1">
      <c r="A63" s="50" t="s">
        <v>20</v>
      </c>
      <c r="B63" s="40" t="s">
        <v>138</v>
      </c>
      <c r="C63" s="41" t="s">
        <v>72</v>
      </c>
      <c r="D63" s="50" t="s">
        <v>69</v>
      </c>
      <c r="E63" s="51" t="s">
        <v>82</v>
      </c>
      <c r="F63" s="50" t="s">
        <v>74</v>
      </c>
      <c r="G63" s="165">
        <f>G60+G61-G62</f>
        <v>1912007.516</v>
      </c>
      <c r="H63" s="97" t="str">
        <f>VLOOKUP(B63,'Marzo Data'!A:D,4,FALSE)</f>
        <v>UESP1657</v>
      </c>
      <c r="I63" s="78"/>
      <c r="J63" s="78"/>
      <c r="K63" s="35"/>
    </row>
    <row r="64" ht="15.0" customHeight="1">
      <c r="A64" s="91" t="s">
        <v>20</v>
      </c>
      <c r="B64" s="27" t="s">
        <v>138</v>
      </c>
      <c r="C64" s="28" t="s">
        <v>59</v>
      </c>
      <c r="D64" s="56" t="s">
        <v>59</v>
      </c>
      <c r="E64" s="88"/>
      <c r="F64" s="41" t="s">
        <v>75</v>
      </c>
      <c r="G64" s="157">
        <f>G63*5%</f>
        <v>95600.37581</v>
      </c>
      <c r="H64" s="45" t="str">
        <f>VLOOKUP(B64,'Marzo Data'!A:D,4,FALSE)</f>
        <v>UESP1657</v>
      </c>
      <c r="I64" s="85" t="s">
        <v>138</v>
      </c>
      <c r="J64" s="92"/>
      <c r="K64" s="35"/>
    </row>
    <row r="65" ht="18.0" customHeight="1">
      <c r="A65" s="80" t="s">
        <v>20</v>
      </c>
      <c r="B65" s="70" t="s">
        <v>138</v>
      </c>
      <c r="C65" s="71" t="s">
        <v>59</v>
      </c>
      <c r="D65" s="81" t="s">
        <v>59</v>
      </c>
      <c r="E65" s="88"/>
      <c r="F65" s="71" t="s">
        <v>58</v>
      </c>
      <c r="G65" s="162">
        <f>G64</f>
        <v>95600.37581</v>
      </c>
      <c r="H65" s="82" t="str">
        <f>VLOOKUP(B65,'Marzo Data'!A:D,4,FALSE)</f>
        <v>UESP1657</v>
      </c>
      <c r="I65" s="87" t="s">
        <v>138</v>
      </c>
      <c r="J65" s="83"/>
      <c r="K65" s="35"/>
    </row>
    <row r="66">
      <c r="A66" s="28" t="s">
        <v>22</v>
      </c>
      <c r="B66" s="27" t="s">
        <v>94</v>
      </c>
      <c r="C66" s="28" t="s">
        <v>58</v>
      </c>
      <c r="D66" s="29" t="s">
        <v>69</v>
      </c>
      <c r="E66" s="30" t="s">
        <v>92</v>
      </c>
      <c r="F66" s="135" t="s">
        <v>71</v>
      </c>
      <c r="G66" s="156">
        <f>SUMIFS('Marzo Data'!C:C,'Marzo Data'!A:A,B66,'Marzo Data'!B:B,F66)</f>
        <v>2965846.31</v>
      </c>
      <c r="H66" s="32" t="str">
        <f>VLOOKUP(B66,'Marzo Data'!A:D,4,FALSE)</f>
        <v>UESP1659</v>
      </c>
      <c r="I66" s="87" t="s">
        <v>94</v>
      </c>
      <c r="J66" s="85">
        <f>J60+1</f>
        <v>653</v>
      </c>
      <c r="K66" s="35"/>
    </row>
    <row r="67">
      <c r="A67" s="71" t="s">
        <v>22</v>
      </c>
      <c r="B67" s="70" t="s">
        <v>94</v>
      </c>
      <c r="C67" s="71" t="s">
        <v>72</v>
      </c>
      <c r="D67" s="72" t="s">
        <v>69</v>
      </c>
      <c r="E67" s="73" t="s">
        <v>92</v>
      </c>
      <c r="F67" s="81" t="s">
        <v>73</v>
      </c>
      <c r="G67" s="162">
        <f>SUMIFS('Marzo Data'!C:C,'Marzo Data'!A:A,B67,'Marzo Data'!B:B,F67)</f>
        <v>60995.46</v>
      </c>
      <c r="H67" s="82" t="str">
        <f>VLOOKUP(B67,'Marzo Data'!A:D,4,FALSE)</f>
        <v>UESP1659</v>
      </c>
      <c r="I67" s="87" t="s">
        <v>94</v>
      </c>
      <c r="J67" s="83"/>
      <c r="K67" s="35"/>
    </row>
    <row r="68">
      <c r="A68" s="50" t="s">
        <v>22</v>
      </c>
      <c r="B68" s="40" t="s">
        <v>94</v>
      </c>
      <c r="C68" s="41" t="s">
        <v>72</v>
      </c>
      <c r="D68" s="50" t="s">
        <v>69</v>
      </c>
      <c r="E68" s="51" t="s">
        <v>92</v>
      </c>
      <c r="F68" s="50" t="s">
        <v>74</v>
      </c>
      <c r="G68" s="165">
        <f>G67+G66</f>
        <v>3026841.77</v>
      </c>
      <c r="H68" s="97" t="str">
        <f>VLOOKUP(B68,'Marzo Data'!A:D,4,FALSE)</f>
        <v>UESP1659</v>
      </c>
      <c r="I68" s="78"/>
      <c r="J68" s="78"/>
      <c r="K68" s="35"/>
    </row>
    <row r="69">
      <c r="A69" s="91" t="s">
        <v>22</v>
      </c>
      <c r="B69" s="27" t="s">
        <v>94</v>
      </c>
      <c r="C69" s="28" t="s">
        <v>59</v>
      </c>
      <c r="D69" s="56" t="s">
        <v>59</v>
      </c>
      <c r="E69" s="88"/>
      <c r="F69" s="41" t="s">
        <v>75</v>
      </c>
      <c r="G69" s="157">
        <f>G68*5%</f>
        <v>151342.0885</v>
      </c>
      <c r="H69" s="45" t="str">
        <f>VLOOKUP(B69,'Marzo Data'!A:D,4,FALSE)</f>
        <v>UESP1659</v>
      </c>
      <c r="I69" s="87" t="s">
        <v>94</v>
      </c>
      <c r="J69" s="92"/>
      <c r="K69" s="35"/>
    </row>
    <row r="70">
      <c r="A70" s="80" t="s">
        <v>22</v>
      </c>
      <c r="B70" s="70" t="s">
        <v>94</v>
      </c>
      <c r="C70" s="71" t="s">
        <v>59</v>
      </c>
      <c r="D70" s="81" t="s">
        <v>59</v>
      </c>
      <c r="E70" s="88"/>
      <c r="F70" s="71" t="s">
        <v>58</v>
      </c>
      <c r="G70" s="162">
        <f>G69</f>
        <v>151342.0885</v>
      </c>
      <c r="H70" s="82" t="str">
        <f>VLOOKUP(B70,'Marzo Data'!A:D,4,FALSE)</f>
        <v>UESP1659</v>
      </c>
      <c r="I70" s="87" t="s">
        <v>94</v>
      </c>
      <c r="J70" s="83"/>
      <c r="K70" s="35"/>
    </row>
    <row r="71">
      <c r="A71" s="28" t="s">
        <v>24</v>
      </c>
      <c r="B71" s="27" t="s">
        <v>95</v>
      </c>
      <c r="C71" s="28" t="s">
        <v>58</v>
      </c>
      <c r="D71" s="28" t="s">
        <v>69</v>
      </c>
      <c r="E71" s="30" t="s">
        <v>96</v>
      </c>
      <c r="F71" s="135" t="s">
        <v>71</v>
      </c>
      <c r="G71" s="156">
        <f>SUMIFS('Marzo Data'!C:C,'Marzo Data'!A:A,B71,'Marzo Data'!B:B,F71)</f>
        <v>3347873.39</v>
      </c>
      <c r="H71" s="32" t="str">
        <f>VLOOKUP(B71,'Marzo Data'!A:D,4,FALSE)</f>
        <v>UESP1662</v>
      </c>
      <c r="I71" s="85" t="s">
        <v>95</v>
      </c>
      <c r="J71" s="85">
        <f>J66+1</f>
        <v>654</v>
      </c>
      <c r="K71" s="35"/>
    </row>
    <row r="72">
      <c r="A72" s="71" t="s">
        <v>24</v>
      </c>
      <c r="B72" s="70" t="s">
        <v>95</v>
      </c>
      <c r="C72" s="71" t="s">
        <v>72</v>
      </c>
      <c r="D72" s="71" t="s">
        <v>69</v>
      </c>
      <c r="E72" s="73" t="s">
        <v>96</v>
      </c>
      <c r="F72" s="81" t="s">
        <v>73</v>
      </c>
      <c r="G72" s="162">
        <f>SUMIFS('Marzo Data'!C:C,'Marzo Data'!A:A,B72,'Marzo Data'!B:B,F72)</f>
        <v>0</v>
      </c>
      <c r="H72" s="82" t="str">
        <f>VLOOKUP(B72,'Marzo Data'!A:D,4,FALSE)</f>
        <v>UESP1662</v>
      </c>
      <c r="I72" s="87" t="s">
        <v>95</v>
      </c>
      <c r="J72" s="83"/>
      <c r="K72" s="35"/>
    </row>
    <row r="73">
      <c r="A73" s="50" t="s">
        <v>24</v>
      </c>
      <c r="B73" s="40" t="s">
        <v>95</v>
      </c>
      <c r="C73" s="41" t="s">
        <v>72</v>
      </c>
      <c r="D73" s="50" t="s">
        <v>69</v>
      </c>
      <c r="E73" s="51" t="s">
        <v>96</v>
      </c>
      <c r="F73" s="50" t="s">
        <v>74</v>
      </c>
      <c r="G73" s="165">
        <f>G72+G71</f>
        <v>3347873.39</v>
      </c>
      <c r="H73" s="97" t="str">
        <f>VLOOKUP(B73,'Marzo Data'!A:D,4,FALSE)</f>
        <v>UESP1662</v>
      </c>
      <c r="I73" s="78"/>
      <c r="J73" s="78"/>
      <c r="K73" s="35"/>
    </row>
    <row r="74">
      <c r="A74" s="91" t="s">
        <v>24</v>
      </c>
      <c r="B74" s="27" t="s">
        <v>95</v>
      </c>
      <c r="C74" s="28" t="s">
        <v>59</v>
      </c>
      <c r="D74" s="56" t="s">
        <v>59</v>
      </c>
      <c r="E74" s="88"/>
      <c r="F74" s="41" t="s">
        <v>75</v>
      </c>
      <c r="G74" s="157">
        <f>G73*5%</f>
        <v>167393.6695</v>
      </c>
      <c r="H74" s="45" t="str">
        <f>VLOOKUP(B74,'Marzo Data'!A:D,4,FALSE)</f>
        <v>UESP1662</v>
      </c>
      <c r="I74" s="85" t="s">
        <v>95</v>
      </c>
      <c r="J74" s="92"/>
      <c r="K74" s="35"/>
    </row>
    <row r="75">
      <c r="A75" s="37" t="s">
        <v>24</v>
      </c>
      <c r="B75" s="40" t="s">
        <v>95</v>
      </c>
      <c r="C75" s="41" t="s">
        <v>59</v>
      </c>
      <c r="D75" s="56" t="s">
        <v>59</v>
      </c>
      <c r="E75" s="88"/>
      <c r="F75" s="41" t="s">
        <v>58</v>
      </c>
      <c r="G75" s="157">
        <f>G74</f>
        <v>167393.6695</v>
      </c>
      <c r="H75" s="45" t="str">
        <f>VLOOKUP(B75,'Marzo Data'!A:D,4,FALSE)</f>
        <v>UESP1662</v>
      </c>
      <c r="I75" s="89" t="s">
        <v>95</v>
      </c>
      <c r="J75" s="79"/>
      <c r="K75" s="35"/>
    </row>
    <row r="76">
      <c r="A76" s="28" t="s">
        <v>26</v>
      </c>
      <c r="B76" s="27" t="s">
        <v>97</v>
      </c>
      <c r="C76" s="28" t="s">
        <v>58</v>
      </c>
      <c r="D76" s="29" t="s">
        <v>69</v>
      </c>
      <c r="E76" s="30" t="s">
        <v>82</v>
      </c>
      <c r="F76" s="135" t="s">
        <v>71</v>
      </c>
      <c r="G76" s="159">
        <f>SUMIFS('Marzo Data'!C:C,'Marzo Data'!A:A,B76,'Marzo Data'!B:B,F76)</f>
        <v>2616948.98</v>
      </c>
      <c r="H76" s="63" t="str">
        <f>VLOOKUP(B76,'Marzo Data'!A:D,4,FALSE)</f>
        <v>UESP1654</v>
      </c>
      <c r="I76" s="85" t="s">
        <v>97</v>
      </c>
      <c r="J76" s="85">
        <f>J71+1</f>
        <v>655</v>
      </c>
      <c r="K76" s="35"/>
    </row>
    <row r="77">
      <c r="A77" s="41" t="s">
        <v>26</v>
      </c>
      <c r="B77" s="40" t="s">
        <v>97</v>
      </c>
      <c r="C77" s="41" t="s">
        <v>72</v>
      </c>
      <c r="D77" s="42" t="s">
        <v>69</v>
      </c>
      <c r="E77" s="43" t="s">
        <v>82</v>
      </c>
      <c r="F77" s="56" t="s">
        <v>73</v>
      </c>
      <c r="G77" s="160">
        <f>SUMIFS('Marzo Data'!C:C,'Marzo Data'!A:A,B77,'Marzo Data'!B:B,F77)</f>
        <v>12955.78</v>
      </c>
      <c r="H77" s="66" t="str">
        <f>VLOOKUP(B77,'Marzo Data'!A:D,4,FALSE)</f>
        <v>UESP1654</v>
      </c>
      <c r="I77" s="89" t="s">
        <v>97</v>
      </c>
      <c r="J77" s="79"/>
      <c r="K77" s="35"/>
    </row>
    <row r="78">
      <c r="A78" s="71" t="s">
        <v>26</v>
      </c>
      <c r="B78" s="70" t="s">
        <v>97</v>
      </c>
      <c r="C78" s="71" t="s">
        <v>72</v>
      </c>
      <c r="D78" s="72" t="s">
        <v>69</v>
      </c>
      <c r="E78" s="73"/>
      <c r="F78" s="81" t="s">
        <v>80</v>
      </c>
      <c r="G78" s="160">
        <f>(G76+G77)*2.5%</f>
        <v>65747.619</v>
      </c>
      <c r="H78" s="66" t="str">
        <f>VLOOKUP(B78,'Marzo Data'!A:D,4,FALSE)</f>
        <v>UESP1654</v>
      </c>
      <c r="I78" s="87" t="s">
        <v>97</v>
      </c>
      <c r="J78" s="83"/>
      <c r="K78" s="35"/>
    </row>
    <row r="79">
      <c r="A79" s="50" t="s">
        <v>26</v>
      </c>
      <c r="B79" s="40" t="s">
        <v>97</v>
      </c>
      <c r="C79" s="41" t="s">
        <v>72</v>
      </c>
      <c r="D79" s="50" t="s">
        <v>69</v>
      </c>
      <c r="E79" s="51" t="s">
        <v>82</v>
      </c>
      <c r="F79" s="50" t="s">
        <v>74</v>
      </c>
      <c r="G79" s="165">
        <f>G76+G77-G78</f>
        <v>2564157.141</v>
      </c>
      <c r="H79" s="97" t="str">
        <f>VLOOKUP(B79,'Marzo Data'!A:D,4,FALSE)</f>
        <v>UESP1654</v>
      </c>
      <c r="I79" s="78"/>
      <c r="J79" s="78"/>
      <c r="K79" s="35"/>
    </row>
    <row r="80">
      <c r="A80" s="102" t="s">
        <v>26</v>
      </c>
      <c r="B80" s="27" t="s">
        <v>97</v>
      </c>
      <c r="C80" s="28" t="s">
        <v>59</v>
      </c>
      <c r="D80" s="56" t="s">
        <v>59</v>
      </c>
      <c r="E80" s="88"/>
      <c r="F80" s="41" t="s">
        <v>75</v>
      </c>
      <c r="G80" s="157">
        <f>G79*5%</f>
        <v>128207.8571</v>
      </c>
      <c r="H80" s="45" t="str">
        <f>VLOOKUP(B80,'Marzo Data'!A:D,4,FALSE)</f>
        <v>UESP1654</v>
      </c>
      <c r="I80" s="85" t="s">
        <v>97</v>
      </c>
      <c r="J80" s="92"/>
      <c r="K80" s="35"/>
    </row>
    <row r="81">
      <c r="A81" s="103" t="s">
        <v>26</v>
      </c>
      <c r="B81" s="40" t="s">
        <v>97</v>
      </c>
      <c r="C81" s="41" t="s">
        <v>59</v>
      </c>
      <c r="D81" s="56" t="s">
        <v>59</v>
      </c>
      <c r="E81" s="88"/>
      <c r="F81" s="41" t="s">
        <v>58</v>
      </c>
      <c r="G81" s="157">
        <f>G80</f>
        <v>128207.8571</v>
      </c>
      <c r="H81" s="45" t="str">
        <f>VLOOKUP(B81,'Marzo Data'!A:D,4,FALSE)</f>
        <v>UESP1654</v>
      </c>
      <c r="I81" s="89" t="s">
        <v>97</v>
      </c>
      <c r="J81" s="79"/>
      <c r="K81" s="35"/>
    </row>
    <row r="82">
      <c r="A82" s="28" t="s">
        <v>28</v>
      </c>
      <c r="B82" s="27" t="s">
        <v>98</v>
      </c>
      <c r="C82" s="28" t="s">
        <v>58</v>
      </c>
      <c r="D82" s="29" t="s">
        <v>69</v>
      </c>
      <c r="E82" s="30" t="s">
        <v>99</v>
      </c>
      <c r="F82" s="135" t="s">
        <v>71</v>
      </c>
      <c r="G82" s="159">
        <f>SUMIFS('Marzo Data'!C:C,'Marzo Data'!A:A,B82,'Marzo Data'!B:B,F82)</f>
        <v>2320232.6</v>
      </c>
      <c r="H82" s="63" t="str">
        <f>VLOOKUP(B82,'Marzo Data'!A:D,4,FALSE)</f>
        <v>UESP1649</v>
      </c>
      <c r="I82" s="85" t="s">
        <v>98</v>
      </c>
      <c r="J82" s="85">
        <f>J76+1</f>
        <v>656</v>
      </c>
      <c r="K82" s="35"/>
    </row>
    <row r="83">
      <c r="A83" s="41" t="s">
        <v>28</v>
      </c>
      <c r="B83" s="40" t="s">
        <v>98</v>
      </c>
      <c r="C83" s="41" t="s">
        <v>72</v>
      </c>
      <c r="D83" s="42" t="s">
        <v>69</v>
      </c>
      <c r="E83" s="43" t="s">
        <v>99</v>
      </c>
      <c r="F83" s="56" t="s">
        <v>73</v>
      </c>
      <c r="G83" s="160">
        <f>SUMIFS('Marzo Data'!C:C,'Marzo Data'!A:A,B83,'Marzo Data'!B:B,F83)</f>
        <v>0</v>
      </c>
      <c r="H83" s="66" t="str">
        <f>VLOOKUP(B83,'Marzo Data'!A:D,4,FALSE)</f>
        <v>UESP1649</v>
      </c>
      <c r="I83" s="89" t="s">
        <v>98</v>
      </c>
      <c r="J83" s="79"/>
      <c r="K83" s="35"/>
    </row>
    <row r="84">
      <c r="A84" s="41" t="s">
        <v>28</v>
      </c>
      <c r="B84" s="40" t="s">
        <v>98</v>
      </c>
      <c r="C84" s="41" t="s">
        <v>72</v>
      </c>
      <c r="D84" s="42" t="s">
        <v>69</v>
      </c>
      <c r="F84" s="56" t="s">
        <v>80</v>
      </c>
      <c r="G84" s="160">
        <f>(G82+G83)*4%</f>
        <v>92809.304</v>
      </c>
      <c r="H84" s="66" t="str">
        <f>VLOOKUP(B84,'Marzo Data'!A:D,4,FALSE)</f>
        <v>UESP1649</v>
      </c>
      <c r="I84" s="89" t="s">
        <v>98</v>
      </c>
      <c r="J84" s="79"/>
      <c r="K84" s="35"/>
    </row>
    <row r="85">
      <c r="A85" s="71" t="s">
        <v>28</v>
      </c>
      <c r="B85" s="70" t="s">
        <v>98</v>
      </c>
      <c r="C85" s="71" t="s">
        <v>72</v>
      </c>
      <c r="D85" s="72" t="s">
        <v>69</v>
      </c>
      <c r="E85" s="73"/>
      <c r="F85" s="81" t="s">
        <v>100</v>
      </c>
      <c r="G85" s="160">
        <f>(G82+G83)*0.4%</f>
        <v>9280.9304</v>
      </c>
      <c r="H85" s="66" t="str">
        <f>VLOOKUP(B85,'Marzo Data'!A:D,4,FALSE)</f>
        <v>UESP1649</v>
      </c>
      <c r="I85" s="87" t="s">
        <v>98</v>
      </c>
      <c r="J85" s="83"/>
      <c r="K85" s="35"/>
    </row>
    <row r="86">
      <c r="A86" s="50" t="s">
        <v>28</v>
      </c>
      <c r="B86" s="40" t="s">
        <v>98</v>
      </c>
      <c r="C86" s="41" t="s">
        <v>72</v>
      </c>
      <c r="D86" s="50" t="s">
        <v>69</v>
      </c>
      <c r="E86" s="51" t="s">
        <v>99</v>
      </c>
      <c r="F86" s="50" t="s">
        <v>74</v>
      </c>
      <c r="G86" s="165">
        <f>G82+G83-G84-G85</f>
        <v>2218142.366</v>
      </c>
      <c r="H86" s="97" t="str">
        <f>VLOOKUP(B86,'Marzo Data'!A:D,4,FALSE)</f>
        <v>UESP1649</v>
      </c>
      <c r="I86" s="78"/>
      <c r="J86" s="78"/>
      <c r="K86" s="35"/>
    </row>
    <row r="87">
      <c r="A87" s="91" t="s">
        <v>28</v>
      </c>
      <c r="B87" s="27" t="s">
        <v>98</v>
      </c>
      <c r="C87" s="28" t="s">
        <v>59</v>
      </c>
      <c r="D87" s="56" t="s">
        <v>59</v>
      </c>
      <c r="E87" s="88"/>
      <c r="F87" s="41" t="s">
        <v>75</v>
      </c>
      <c r="G87" s="157">
        <f>G86*5%</f>
        <v>110907.1183</v>
      </c>
      <c r="H87" s="45" t="str">
        <f>VLOOKUP(B87,'Marzo Data'!A:D,4,FALSE)</f>
        <v>UESP1649</v>
      </c>
      <c r="I87" s="85" t="s">
        <v>98</v>
      </c>
      <c r="J87" s="92"/>
      <c r="K87" s="35"/>
    </row>
    <row r="88">
      <c r="A88" s="80" t="s">
        <v>28</v>
      </c>
      <c r="B88" s="70" t="s">
        <v>98</v>
      </c>
      <c r="C88" s="71" t="s">
        <v>59</v>
      </c>
      <c r="D88" s="81" t="s">
        <v>59</v>
      </c>
      <c r="E88" s="88"/>
      <c r="F88" s="71" t="s">
        <v>58</v>
      </c>
      <c r="G88" s="162">
        <f>G87</f>
        <v>110907.1183</v>
      </c>
      <c r="H88" s="82" t="str">
        <f>VLOOKUP(B88,'Marzo Data'!A:D,4,FALSE)</f>
        <v>UESP1649</v>
      </c>
      <c r="I88" s="87" t="s">
        <v>98</v>
      </c>
      <c r="J88" s="83"/>
      <c r="K88" s="35"/>
    </row>
    <row r="89">
      <c r="A89" s="28" t="s">
        <v>30</v>
      </c>
      <c r="B89" s="27" t="s">
        <v>101</v>
      </c>
      <c r="C89" s="28" t="s">
        <v>58</v>
      </c>
      <c r="D89" s="29" t="s">
        <v>69</v>
      </c>
      <c r="E89" s="30" t="s">
        <v>102</v>
      </c>
      <c r="F89" s="135" t="s">
        <v>71</v>
      </c>
      <c r="G89" s="156">
        <f>SUMIFS('Marzo Data'!C:C,'Marzo Data'!A:A,B89,'Marzo Data'!B:B,F89)</f>
        <v>4490253.3</v>
      </c>
      <c r="H89" s="32" t="str">
        <f>VLOOKUP(B89,'Marzo Data'!A:D,4,FALSE)</f>
        <v>UESP1661</v>
      </c>
      <c r="I89" s="85" t="s">
        <v>101</v>
      </c>
      <c r="J89" s="85">
        <f>J82+1</f>
        <v>657</v>
      </c>
      <c r="K89" s="35"/>
    </row>
    <row r="90">
      <c r="A90" s="71" t="s">
        <v>30</v>
      </c>
      <c r="B90" s="70" t="s">
        <v>101</v>
      </c>
      <c r="C90" s="71" t="s">
        <v>72</v>
      </c>
      <c r="D90" s="72" t="s">
        <v>69</v>
      </c>
      <c r="E90" s="73" t="s">
        <v>102</v>
      </c>
      <c r="F90" s="81" t="s">
        <v>73</v>
      </c>
      <c r="G90" s="162">
        <f>SUMIFS('Marzo Data'!C:C,'Marzo Data'!A:A,B90,'Marzo Data'!B:B,F90)</f>
        <v>19723.55</v>
      </c>
      <c r="H90" s="82" t="str">
        <f>VLOOKUP(B90,'Marzo Data'!A:D,4,FALSE)</f>
        <v>UESP1661</v>
      </c>
      <c r="I90" s="87" t="s">
        <v>101</v>
      </c>
      <c r="J90" s="83"/>
      <c r="K90" s="35"/>
    </row>
    <row r="91">
      <c r="A91" s="50" t="s">
        <v>30</v>
      </c>
      <c r="B91" s="40" t="s">
        <v>101</v>
      </c>
      <c r="C91" s="41" t="s">
        <v>72</v>
      </c>
      <c r="D91" s="50" t="s">
        <v>69</v>
      </c>
      <c r="E91" s="51" t="s">
        <v>102</v>
      </c>
      <c r="F91" s="50" t="s">
        <v>74</v>
      </c>
      <c r="G91" s="165">
        <f>G90+G89</f>
        <v>4509976.85</v>
      </c>
      <c r="H91" s="97" t="str">
        <f>VLOOKUP(B91,'Marzo Data'!A:D,4,FALSE)</f>
        <v>UESP1661</v>
      </c>
      <c r="I91" s="78"/>
      <c r="J91" s="78"/>
      <c r="K91" s="35"/>
    </row>
    <row r="92">
      <c r="A92" s="91" t="s">
        <v>30</v>
      </c>
      <c r="B92" s="27" t="s">
        <v>101</v>
      </c>
      <c r="C92" s="28" t="s">
        <v>59</v>
      </c>
      <c r="D92" s="56" t="s">
        <v>59</v>
      </c>
      <c r="E92" s="88"/>
      <c r="F92" s="41" t="s">
        <v>75</v>
      </c>
      <c r="G92" s="157">
        <f>G91*5%</f>
        <v>225498.8425</v>
      </c>
      <c r="H92" s="45" t="str">
        <f>VLOOKUP(B92,'Marzo Data'!A:D,4,FALSE)</f>
        <v>UESP1661</v>
      </c>
      <c r="I92" s="85" t="s">
        <v>101</v>
      </c>
      <c r="J92" s="92"/>
      <c r="K92" s="35"/>
    </row>
    <row r="93">
      <c r="A93" s="80" t="s">
        <v>30</v>
      </c>
      <c r="B93" s="70" t="s">
        <v>101</v>
      </c>
      <c r="C93" s="71" t="s">
        <v>59</v>
      </c>
      <c r="D93" s="81" t="s">
        <v>59</v>
      </c>
      <c r="E93" s="88"/>
      <c r="F93" s="71" t="s">
        <v>58</v>
      </c>
      <c r="G93" s="162">
        <f>G92</f>
        <v>225498.8425</v>
      </c>
      <c r="H93" s="82" t="str">
        <f>VLOOKUP(B93,'Marzo Data'!A:D,4,FALSE)</f>
        <v>UESP1661</v>
      </c>
      <c r="I93" s="87" t="s">
        <v>101</v>
      </c>
      <c r="J93" s="83"/>
      <c r="K93" s="35"/>
    </row>
    <row r="94">
      <c r="A94" s="28" t="s">
        <v>32</v>
      </c>
      <c r="B94" s="27" t="s">
        <v>103</v>
      </c>
      <c r="C94" s="28" t="s">
        <v>58</v>
      </c>
      <c r="D94" s="29" t="s">
        <v>69</v>
      </c>
      <c r="E94" s="30" t="s">
        <v>104</v>
      </c>
      <c r="F94" s="135" t="s">
        <v>71</v>
      </c>
      <c r="G94" s="156">
        <f>SUMIFS('Marzo Data'!C:C,'Marzo Data'!A:A,B94,'Marzo Data'!B:B,F94)</f>
        <v>2098339.84</v>
      </c>
      <c r="H94" s="32" t="str">
        <f>VLOOKUP(B94,'Marzo Data'!A:D,4,FALSE)</f>
        <v>UESP1666</v>
      </c>
      <c r="I94" s="85" t="s">
        <v>103</v>
      </c>
      <c r="J94" s="85">
        <f>J89+1</f>
        <v>658</v>
      </c>
      <c r="K94" s="35"/>
    </row>
    <row r="95">
      <c r="A95" s="71" t="s">
        <v>32</v>
      </c>
      <c r="B95" s="70" t="s">
        <v>103</v>
      </c>
      <c r="C95" s="71" t="s">
        <v>72</v>
      </c>
      <c r="D95" s="72" t="s">
        <v>69</v>
      </c>
      <c r="E95" s="73" t="s">
        <v>104</v>
      </c>
      <c r="F95" s="81" t="s">
        <v>73</v>
      </c>
      <c r="G95" s="162">
        <f>SUMIFS('Marzo Data'!C:C,'Marzo Data'!A:A,B95,'Marzo Data'!B:B,F95)</f>
        <v>0</v>
      </c>
      <c r="H95" s="82" t="str">
        <f>VLOOKUP(B95,'Marzo Data'!A:D,4,FALSE)</f>
        <v>UESP1666</v>
      </c>
      <c r="I95" s="87" t="s">
        <v>103</v>
      </c>
      <c r="J95" s="83"/>
      <c r="K95" s="35"/>
    </row>
    <row r="96">
      <c r="A96" s="50" t="s">
        <v>32</v>
      </c>
      <c r="B96" s="40" t="s">
        <v>103</v>
      </c>
      <c r="C96" s="41" t="s">
        <v>72</v>
      </c>
      <c r="D96" s="50" t="s">
        <v>69</v>
      </c>
      <c r="E96" s="51" t="s">
        <v>104</v>
      </c>
      <c r="F96" s="50" t="s">
        <v>74</v>
      </c>
      <c r="G96" s="165">
        <f>G95+G94</f>
        <v>2098339.84</v>
      </c>
      <c r="H96" s="97" t="str">
        <f>VLOOKUP(B96,'Marzo Data'!A:D,4,FALSE)</f>
        <v>UESP1666</v>
      </c>
      <c r="I96" s="78"/>
      <c r="J96" s="78"/>
      <c r="K96" s="35"/>
    </row>
    <row r="97">
      <c r="A97" s="102" t="s">
        <v>32</v>
      </c>
      <c r="B97" s="27" t="s">
        <v>103</v>
      </c>
      <c r="C97" s="28" t="s">
        <v>59</v>
      </c>
      <c r="D97" s="56" t="s">
        <v>59</v>
      </c>
      <c r="E97" s="88"/>
      <c r="F97" s="41" t="s">
        <v>75</v>
      </c>
      <c r="G97" s="157">
        <f>G96*5%</f>
        <v>104916.992</v>
      </c>
      <c r="H97" s="45" t="str">
        <f>VLOOKUP(B97,'Marzo Data'!A:D,4,FALSE)</f>
        <v>UESP1666</v>
      </c>
      <c r="I97" s="85" t="s">
        <v>103</v>
      </c>
      <c r="J97" s="92"/>
      <c r="K97" s="35"/>
    </row>
    <row r="98">
      <c r="A98" s="103" t="s">
        <v>32</v>
      </c>
      <c r="B98" s="40" t="s">
        <v>103</v>
      </c>
      <c r="C98" s="41" t="s">
        <v>59</v>
      </c>
      <c r="D98" s="56" t="s">
        <v>59</v>
      </c>
      <c r="E98" s="88"/>
      <c r="F98" s="41" t="s">
        <v>58</v>
      </c>
      <c r="G98" s="157">
        <f>G97</f>
        <v>104916.992</v>
      </c>
      <c r="H98" s="45" t="str">
        <f>VLOOKUP(B98,'Marzo Data'!A:D,4,FALSE)</f>
        <v>UESP1666</v>
      </c>
      <c r="I98" s="89" t="s">
        <v>103</v>
      </c>
      <c r="J98" s="79"/>
      <c r="K98" s="35"/>
    </row>
    <row r="99">
      <c r="A99" s="28" t="s">
        <v>34</v>
      </c>
      <c r="B99" s="27" t="s">
        <v>105</v>
      </c>
      <c r="C99" s="28" t="s">
        <v>58</v>
      </c>
      <c r="D99" s="29" t="s">
        <v>69</v>
      </c>
      <c r="E99" s="30" t="s">
        <v>99</v>
      </c>
      <c r="F99" s="135" t="s">
        <v>71</v>
      </c>
      <c r="G99" s="159">
        <f>SUMIFS('Marzo Data'!C:C,'Marzo Data'!A:A,B99,'Marzo Data'!B:B,F99)</f>
        <v>13102954.92</v>
      </c>
      <c r="H99" s="63" t="str">
        <f>VLOOKUP(B99,'Marzo Data'!A:D,4,FALSE)</f>
        <v>UESP1653</v>
      </c>
      <c r="I99" s="85" t="s">
        <v>105</v>
      </c>
      <c r="J99" s="85">
        <f>J94+1</f>
        <v>659</v>
      </c>
      <c r="K99" s="35"/>
    </row>
    <row r="100">
      <c r="A100" s="41" t="s">
        <v>34</v>
      </c>
      <c r="B100" s="40" t="s">
        <v>105</v>
      </c>
      <c r="C100" s="41" t="s">
        <v>72</v>
      </c>
      <c r="D100" s="42" t="s">
        <v>69</v>
      </c>
      <c r="E100" s="43" t="s">
        <v>99</v>
      </c>
      <c r="F100" s="56" t="s">
        <v>73</v>
      </c>
      <c r="G100" s="160">
        <f>SUMIFS('Marzo Data'!C:C,'Marzo Data'!A:A,B100,'Marzo Data'!B:B,F100)</f>
        <v>0</v>
      </c>
      <c r="H100" s="66" t="str">
        <f>VLOOKUP(B100,'Marzo Data'!A:D,4,FALSE)</f>
        <v>UESP1653</v>
      </c>
      <c r="I100" s="89" t="s">
        <v>105</v>
      </c>
      <c r="J100" s="79"/>
      <c r="K100" s="35"/>
    </row>
    <row r="101">
      <c r="A101" s="41" t="s">
        <v>34</v>
      </c>
      <c r="B101" s="40" t="s">
        <v>105</v>
      </c>
      <c r="C101" s="41" t="s">
        <v>72</v>
      </c>
      <c r="D101" s="42" t="s">
        <v>69</v>
      </c>
      <c r="F101" s="56" t="s">
        <v>80</v>
      </c>
      <c r="G101" s="160">
        <f>(G99+G100)*4%</f>
        <v>524118.1968</v>
      </c>
      <c r="H101" s="66" t="str">
        <f>VLOOKUP(B101,'Marzo Data'!A:D,4,FALSE)</f>
        <v>UESP1653</v>
      </c>
      <c r="I101" s="89" t="s">
        <v>105</v>
      </c>
      <c r="J101" s="79"/>
      <c r="K101" s="35"/>
    </row>
    <row r="102">
      <c r="A102" s="71" t="s">
        <v>34</v>
      </c>
      <c r="B102" s="70" t="s">
        <v>105</v>
      </c>
      <c r="C102" s="71" t="s">
        <v>72</v>
      </c>
      <c r="D102" s="72" t="s">
        <v>69</v>
      </c>
      <c r="E102" s="73"/>
      <c r="F102" s="81" t="s">
        <v>100</v>
      </c>
      <c r="G102" s="160">
        <f>(G99+G100)*0.8%</f>
        <v>104823.6394</v>
      </c>
      <c r="H102" s="66" t="str">
        <f>VLOOKUP(B102,'Marzo Data'!A:D,4,FALSE)</f>
        <v>UESP1653</v>
      </c>
      <c r="I102" s="87" t="s">
        <v>105</v>
      </c>
      <c r="J102" s="83"/>
      <c r="K102" s="35"/>
    </row>
    <row r="103">
      <c r="A103" s="50" t="s">
        <v>34</v>
      </c>
      <c r="B103" s="40" t="s">
        <v>105</v>
      </c>
      <c r="C103" s="41" t="s">
        <v>72</v>
      </c>
      <c r="D103" s="50" t="s">
        <v>69</v>
      </c>
      <c r="E103" s="51" t="s">
        <v>99</v>
      </c>
      <c r="F103" s="50" t="s">
        <v>74</v>
      </c>
      <c r="G103" s="165">
        <f>G99+G100-G101-G102</f>
        <v>12474013.08</v>
      </c>
      <c r="H103" s="97" t="str">
        <f>VLOOKUP(B103,'Marzo Data'!A:D,4,FALSE)</f>
        <v>UESP1653</v>
      </c>
      <c r="I103" s="78"/>
      <c r="J103" s="78"/>
      <c r="K103" s="35"/>
    </row>
    <row r="104">
      <c r="A104" s="91" t="s">
        <v>34</v>
      </c>
      <c r="B104" s="27" t="s">
        <v>105</v>
      </c>
      <c r="C104" s="28" t="s">
        <v>59</v>
      </c>
      <c r="D104" s="56" t="s">
        <v>59</v>
      </c>
      <c r="E104" s="88"/>
      <c r="F104" s="41" t="s">
        <v>75</v>
      </c>
      <c r="G104" s="157">
        <f>G103*5%</f>
        <v>623700.6542</v>
      </c>
      <c r="H104" s="45" t="str">
        <f>VLOOKUP(B104,'Marzo Data'!A:D,4,FALSE)</f>
        <v>UESP1653</v>
      </c>
      <c r="I104" s="85" t="s">
        <v>105</v>
      </c>
      <c r="J104" s="92"/>
      <c r="K104" s="35"/>
    </row>
    <row r="105">
      <c r="A105" s="80" t="s">
        <v>34</v>
      </c>
      <c r="B105" s="70" t="s">
        <v>105</v>
      </c>
      <c r="C105" s="71" t="s">
        <v>59</v>
      </c>
      <c r="D105" s="81" t="s">
        <v>59</v>
      </c>
      <c r="E105" s="88"/>
      <c r="F105" s="71" t="s">
        <v>58</v>
      </c>
      <c r="G105" s="162">
        <f>G104</f>
        <v>623700.6542</v>
      </c>
      <c r="H105" s="82" t="str">
        <f>VLOOKUP(B105,'Marzo Data'!A:D,4,FALSE)</f>
        <v>UESP1653</v>
      </c>
      <c r="I105" s="87" t="s">
        <v>105</v>
      </c>
      <c r="J105" s="83"/>
      <c r="K105" s="35"/>
    </row>
    <row r="106">
      <c r="A106" s="28" t="s">
        <v>44</v>
      </c>
      <c r="B106" s="27" t="s">
        <v>106</v>
      </c>
      <c r="C106" s="28" t="s">
        <v>58</v>
      </c>
      <c r="D106" s="29" t="s">
        <v>69</v>
      </c>
      <c r="E106" s="30" t="s">
        <v>107</v>
      </c>
      <c r="F106" s="135" t="s">
        <v>71</v>
      </c>
      <c r="G106" s="156">
        <f>SUMIFS('Marzo Data'!C:C,'Marzo Data'!A:A,B106,'Marzo Data'!B:B,F106)</f>
        <v>4478561.2</v>
      </c>
      <c r="H106" s="32" t="str">
        <f>VLOOKUP(B106,'Marzo Data'!A:D,4,FALSE)</f>
        <v>UESP1663</v>
      </c>
      <c r="I106" s="85" t="s">
        <v>106</v>
      </c>
      <c r="J106" s="85">
        <f>J99+1</f>
        <v>660</v>
      </c>
      <c r="K106" s="35"/>
    </row>
    <row r="107">
      <c r="A107" s="71" t="s">
        <v>44</v>
      </c>
      <c r="B107" s="70" t="s">
        <v>106</v>
      </c>
      <c r="C107" s="71" t="s">
        <v>72</v>
      </c>
      <c r="D107" s="72" t="s">
        <v>69</v>
      </c>
      <c r="E107" s="73" t="s">
        <v>107</v>
      </c>
      <c r="F107" s="81" t="s">
        <v>73</v>
      </c>
      <c r="G107" s="162">
        <f>SUMIFS('Marzo Data'!C:C,'Marzo Data'!A:A,B107,'Marzo Data'!B:B,F107)</f>
        <v>0</v>
      </c>
      <c r="H107" s="82" t="str">
        <f>VLOOKUP(B107,'Marzo Data'!A:D,4,FALSE)</f>
        <v>UESP1663</v>
      </c>
      <c r="I107" s="87" t="s">
        <v>106</v>
      </c>
      <c r="J107" s="83"/>
      <c r="K107" s="35"/>
    </row>
    <row r="108">
      <c r="A108" s="50" t="s">
        <v>44</v>
      </c>
      <c r="B108" s="40" t="s">
        <v>106</v>
      </c>
      <c r="C108" s="41" t="s">
        <v>72</v>
      </c>
      <c r="D108" s="50" t="s">
        <v>69</v>
      </c>
      <c r="E108" s="51" t="s">
        <v>107</v>
      </c>
      <c r="F108" s="50" t="s">
        <v>74</v>
      </c>
      <c r="G108" s="165">
        <f>G107+G106</f>
        <v>4478561.2</v>
      </c>
      <c r="H108" s="97" t="str">
        <f>VLOOKUP(B108,'Marzo Data'!A:D,4,FALSE)</f>
        <v>UESP1663</v>
      </c>
      <c r="I108" s="78"/>
      <c r="J108" s="78"/>
      <c r="K108" s="35"/>
    </row>
    <row r="109">
      <c r="A109" s="91" t="s">
        <v>44</v>
      </c>
      <c r="B109" s="27" t="s">
        <v>106</v>
      </c>
      <c r="C109" s="28" t="s">
        <v>59</v>
      </c>
      <c r="D109" s="56" t="s">
        <v>59</v>
      </c>
      <c r="E109" s="88"/>
      <c r="F109" s="41" t="s">
        <v>75</v>
      </c>
      <c r="G109" s="157">
        <f>G108*5%</f>
        <v>223928.06</v>
      </c>
      <c r="H109" s="45" t="str">
        <f>VLOOKUP(B109,'Marzo Data'!A:D,4,FALSE)</f>
        <v>UESP1663</v>
      </c>
      <c r="I109" s="85" t="s">
        <v>106</v>
      </c>
      <c r="J109" s="92"/>
      <c r="K109" s="35"/>
    </row>
    <row r="110">
      <c r="A110" s="37" t="s">
        <v>44</v>
      </c>
      <c r="B110" s="40" t="s">
        <v>106</v>
      </c>
      <c r="C110" s="41" t="s">
        <v>59</v>
      </c>
      <c r="D110" s="56" t="s">
        <v>59</v>
      </c>
      <c r="E110" s="88"/>
      <c r="F110" s="41" t="s">
        <v>58</v>
      </c>
      <c r="G110" s="157">
        <f>G109</f>
        <v>223928.06</v>
      </c>
      <c r="H110" s="45" t="str">
        <f>VLOOKUP(B110,'Marzo Data'!A:D,4,FALSE)</f>
        <v>UESP1663</v>
      </c>
      <c r="I110" s="89" t="s">
        <v>106</v>
      </c>
      <c r="J110" s="79"/>
      <c r="K110" s="35"/>
    </row>
    <row r="111" ht="14.25" customHeight="1">
      <c r="A111" s="28" t="s">
        <v>36</v>
      </c>
      <c r="B111" s="27" t="s">
        <v>143</v>
      </c>
      <c r="C111" s="28" t="s">
        <v>58</v>
      </c>
      <c r="D111" s="29" t="s">
        <v>69</v>
      </c>
      <c r="E111" s="30" t="s">
        <v>82</v>
      </c>
      <c r="F111" s="149" t="s">
        <v>71</v>
      </c>
      <c r="G111" s="159">
        <f>SUMIFS('Marzo Data'!C:C,'Marzo Data'!A:A,B111,'Marzo Data'!B:B,F111)</f>
        <v>3741553.36</v>
      </c>
      <c r="H111" s="63" t="str">
        <f>VLOOKUP(B111,'Marzo Data'!A:D,4,FALSE)</f>
        <v>UESP1652</v>
      </c>
      <c r="I111" s="85" t="s">
        <v>143</v>
      </c>
      <c r="J111" s="85">
        <f>J106+1</f>
        <v>661</v>
      </c>
      <c r="K111" s="35"/>
    </row>
    <row r="112" ht="14.25" customHeight="1">
      <c r="A112" s="41" t="s">
        <v>36</v>
      </c>
      <c r="B112" s="40" t="s">
        <v>143</v>
      </c>
      <c r="C112" s="41" t="s">
        <v>72</v>
      </c>
      <c r="D112" s="42" t="s">
        <v>69</v>
      </c>
      <c r="E112" s="43" t="s">
        <v>82</v>
      </c>
      <c r="F112" s="151" t="s">
        <v>73</v>
      </c>
      <c r="G112" s="160">
        <f>SUMIFS('Marzo Data'!C:C,'Marzo Data'!A:A,B112,'Marzo Data'!B:B,F112)</f>
        <v>46332.87</v>
      </c>
      <c r="H112" s="66" t="str">
        <f>VLOOKUP(B112,'Marzo Data'!A:D,4,FALSE)</f>
        <v>UESP1652</v>
      </c>
      <c r="I112" s="89" t="s">
        <v>143</v>
      </c>
      <c r="J112" s="79"/>
      <c r="K112" s="35"/>
    </row>
    <row r="113" ht="14.25" customHeight="1">
      <c r="A113" s="71" t="s">
        <v>36</v>
      </c>
      <c r="B113" s="70" t="s">
        <v>143</v>
      </c>
      <c r="C113" s="71" t="s">
        <v>72</v>
      </c>
      <c r="D113" s="72" t="s">
        <v>69</v>
      </c>
      <c r="E113" s="73"/>
      <c r="F113" s="153" t="s">
        <v>80</v>
      </c>
      <c r="G113" s="160">
        <f>(G111+G112)*4%</f>
        <v>151515.4492</v>
      </c>
      <c r="H113" s="66" t="str">
        <f>VLOOKUP(B113,'Marzo Data'!A:D,4,FALSE)</f>
        <v>UESP1652</v>
      </c>
      <c r="I113" s="87" t="s">
        <v>143</v>
      </c>
      <c r="J113" s="83"/>
      <c r="K113" s="35"/>
    </row>
    <row r="114" ht="14.25" customHeight="1">
      <c r="A114" s="50" t="s">
        <v>36</v>
      </c>
      <c r="B114" s="70" t="s">
        <v>143</v>
      </c>
      <c r="C114" s="71" t="s">
        <v>72</v>
      </c>
      <c r="D114" s="111" t="s">
        <v>69</v>
      </c>
      <c r="E114" s="112" t="s">
        <v>82</v>
      </c>
      <c r="F114" s="50" t="s">
        <v>74</v>
      </c>
      <c r="G114" s="166">
        <f>G111+G112-G113</f>
        <v>3636370.781</v>
      </c>
      <c r="H114" s="113" t="str">
        <f>VLOOKUP(B114,'Marzo Data'!A:D,4,FALSE)</f>
        <v>UESP1652</v>
      </c>
      <c r="I114" s="155"/>
      <c r="J114" s="155"/>
      <c r="K114" s="35"/>
    </row>
    <row r="115" ht="14.25" customHeight="1">
      <c r="A115" s="91" t="s">
        <v>36</v>
      </c>
      <c r="B115" s="27" t="s">
        <v>143</v>
      </c>
      <c r="C115" s="28" t="s">
        <v>59</v>
      </c>
      <c r="D115" s="56" t="s">
        <v>59</v>
      </c>
      <c r="E115" s="88"/>
      <c r="F115" s="41" t="s">
        <v>75</v>
      </c>
      <c r="G115" s="157">
        <f>G114*5%</f>
        <v>181818.539</v>
      </c>
      <c r="H115" s="45" t="str">
        <f>VLOOKUP(B115,'Marzo Data'!A:D,4,FALSE)</f>
        <v>UESP1652</v>
      </c>
      <c r="I115" s="85" t="s">
        <v>143</v>
      </c>
      <c r="J115" s="92"/>
      <c r="K115" s="35"/>
    </row>
    <row r="116" ht="14.25" customHeight="1">
      <c r="A116" s="80" t="s">
        <v>36</v>
      </c>
      <c r="B116" s="70" t="s">
        <v>143</v>
      </c>
      <c r="C116" s="71" t="s">
        <v>59</v>
      </c>
      <c r="D116" s="81" t="s">
        <v>59</v>
      </c>
      <c r="E116" s="88"/>
      <c r="F116" s="71" t="s">
        <v>58</v>
      </c>
      <c r="G116" s="162">
        <f>G115</f>
        <v>181818.539</v>
      </c>
      <c r="H116" s="82" t="str">
        <f>VLOOKUP(B116,'Marzo Data'!A:D,4,FALSE)</f>
        <v>UESP1652</v>
      </c>
      <c r="I116" s="87" t="s">
        <v>143</v>
      </c>
      <c r="J116" s="83"/>
      <c r="K116" s="35"/>
    </row>
    <row r="117">
      <c r="B117" s="116"/>
      <c r="G117" s="167"/>
      <c r="H117" s="118"/>
      <c r="I117" s="119"/>
      <c r="J117" s="119"/>
      <c r="K117" s="35"/>
    </row>
    <row r="118">
      <c r="B118" s="116"/>
      <c r="G118" s="167"/>
      <c r="H118" s="118"/>
      <c r="I118" s="119"/>
      <c r="J118" s="119"/>
      <c r="K118" s="35"/>
    </row>
    <row r="119">
      <c r="B119" s="116"/>
      <c r="G119" s="167"/>
      <c r="H119" s="118"/>
      <c r="I119" s="119"/>
      <c r="J119" s="119"/>
      <c r="K119" s="35"/>
    </row>
    <row r="120">
      <c r="B120" s="116"/>
      <c r="G120" s="167"/>
      <c r="H120" s="118"/>
      <c r="I120" s="119"/>
      <c r="J120" s="119"/>
      <c r="K120" s="35"/>
    </row>
    <row r="121">
      <c r="B121" s="116"/>
      <c r="G121" s="167"/>
      <c r="H121" s="118"/>
      <c r="I121" s="119"/>
      <c r="J121" s="119"/>
      <c r="K121" s="35"/>
    </row>
    <row r="122">
      <c r="B122" s="116"/>
      <c r="G122" s="167"/>
      <c r="H122" s="118"/>
      <c r="I122" s="119"/>
      <c r="J122" s="119"/>
      <c r="K122" s="35"/>
    </row>
    <row r="123">
      <c r="B123" s="116"/>
      <c r="G123" s="167"/>
      <c r="H123" s="118"/>
      <c r="I123" s="119"/>
      <c r="J123" s="119"/>
      <c r="K123" s="35"/>
    </row>
    <row r="124">
      <c r="B124" s="116"/>
      <c r="G124" s="167"/>
      <c r="H124" s="118"/>
      <c r="I124" s="119"/>
      <c r="J124" s="119"/>
      <c r="K124" s="35"/>
    </row>
    <row r="125">
      <c r="B125" s="116"/>
      <c r="G125" s="167"/>
      <c r="H125" s="118"/>
      <c r="I125" s="119"/>
      <c r="J125" s="119"/>
      <c r="K125" s="35"/>
    </row>
    <row r="126">
      <c r="B126" s="116"/>
      <c r="G126" s="167"/>
      <c r="H126" s="118"/>
      <c r="I126" s="119"/>
      <c r="J126" s="119"/>
      <c r="K126" s="35"/>
    </row>
    <row r="127">
      <c r="B127" s="116"/>
      <c r="G127" s="167"/>
      <c r="H127" s="118"/>
      <c r="I127" s="119"/>
      <c r="J127" s="119"/>
      <c r="K127" s="35"/>
    </row>
    <row r="128">
      <c r="B128" s="116"/>
      <c r="G128" s="167"/>
      <c r="H128" s="118"/>
      <c r="I128" s="119"/>
      <c r="J128" s="119"/>
      <c r="K128" s="35"/>
    </row>
    <row r="129">
      <c r="B129" s="116"/>
      <c r="G129" s="167"/>
      <c r="H129" s="118"/>
      <c r="I129" s="119"/>
      <c r="J129" s="119"/>
      <c r="K129" s="35"/>
    </row>
    <row r="130">
      <c r="B130" s="116"/>
      <c r="G130" s="167"/>
      <c r="H130" s="118"/>
      <c r="I130" s="119"/>
      <c r="J130" s="119"/>
      <c r="K130" s="35"/>
    </row>
    <row r="131">
      <c r="B131" s="116"/>
      <c r="G131" s="167"/>
      <c r="H131" s="118"/>
      <c r="I131" s="119"/>
      <c r="J131" s="119"/>
      <c r="K131" s="35"/>
    </row>
    <row r="132">
      <c r="B132" s="116"/>
      <c r="G132" s="167"/>
      <c r="H132" s="118"/>
      <c r="I132" s="119"/>
      <c r="J132" s="119"/>
      <c r="K132" s="35"/>
    </row>
    <row r="133">
      <c r="B133" s="116"/>
      <c r="G133" s="167"/>
      <c r="H133" s="118"/>
      <c r="I133" s="119"/>
      <c r="J133" s="119"/>
      <c r="K133" s="35"/>
    </row>
    <row r="134">
      <c r="B134" s="116"/>
      <c r="G134" s="167"/>
      <c r="H134" s="118"/>
      <c r="I134" s="119"/>
      <c r="J134" s="119"/>
      <c r="K134" s="35"/>
    </row>
    <row r="135">
      <c r="B135" s="116"/>
      <c r="G135" s="167"/>
      <c r="H135" s="118"/>
      <c r="I135" s="119"/>
      <c r="J135" s="119"/>
      <c r="K135" s="35"/>
    </row>
    <row r="136">
      <c r="B136" s="116"/>
      <c r="G136" s="167"/>
      <c r="H136" s="118"/>
      <c r="I136" s="119"/>
      <c r="J136" s="119"/>
      <c r="K136" s="35"/>
    </row>
    <row r="137">
      <c r="B137" s="116"/>
      <c r="G137" s="167"/>
      <c r="H137" s="118"/>
      <c r="I137" s="119"/>
      <c r="J137" s="119"/>
      <c r="K137" s="35"/>
    </row>
    <row r="138">
      <c r="B138" s="116"/>
      <c r="G138" s="167"/>
      <c r="H138" s="118"/>
      <c r="I138" s="119"/>
      <c r="J138" s="119"/>
      <c r="K138" s="35"/>
    </row>
    <row r="139">
      <c r="B139" s="116"/>
      <c r="G139" s="167"/>
      <c r="H139" s="118"/>
      <c r="I139" s="119"/>
      <c r="J139" s="119"/>
      <c r="K139" s="35"/>
    </row>
    <row r="140">
      <c r="B140" s="116"/>
      <c r="G140" s="167"/>
      <c r="H140" s="118"/>
      <c r="I140" s="119"/>
      <c r="J140" s="119"/>
      <c r="K140" s="35"/>
    </row>
    <row r="141">
      <c r="B141" s="116"/>
      <c r="G141" s="167"/>
      <c r="H141" s="118"/>
      <c r="I141" s="119"/>
      <c r="J141" s="119"/>
      <c r="K141" s="35"/>
    </row>
    <row r="142">
      <c r="B142" s="116"/>
      <c r="G142" s="167"/>
      <c r="H142" s="118"/>
      <c r="I142" s="119"/>
      <c r="J142" s="119"/>
      <c r="K142" s="35"/>
    </row>
    <row r="143">
      <c r="B143" s="116"/>
      <c r="G143" s="167"/>
      <c r="H143" s="118"/>
      <c r="I143" s="119"/>
      <c r="J143" s="119"/>
      <c r="K143" s="35"/>
    </row>
    <row r="144">
      <c r="B144" s="116"/>
      <c r="G144" s="167"/>
      <c r="H144" s="118"/>
      <c r="I144" s="119"/>
      <c r="J144" s="119"/>
      <c r="K144" s="35"/>
    </row>
    <row r="145">
      <c r="B145" s="116"/>
      <c r="G145" s="167"/>
      <c r="H145" s="118"/>
      <c r="I145" s="119"/>
      <c r="J145" s="119"/>
      <c r="K145" s="35"/>
    </row>
    <row r="146">
      <c r="B146" s="116"/>
      <c r="G146" s="167"/>
      <c r="H146" s="118"/>
      <c r="I146" s="119"/>
      <c r="J146" s="119"/>
      <c r="K146" s="35"/>
    </row>
    <row r="147">
      <c r="B147" s="116"/>
      <c r="G147" s="167"/>
      <c r="H147" s="118"/>
      <c r="I147" s="119"/>
      <c r="J147" s="119"/>
      <c r="K147" s="35"/>
    </row>
    <row r="148">
      <c r="B148" s="116"/>
      <c r="G148" s="167"/>
      <c r="H148" s="118"/>
      <c r="I148" s="119"/>
      <c r="J148" s="119"/>
      <c r="K148" s="35"/>
    </row>
    <row r="149">
      <c r="B149" s="116"/>
      <c r="G149" s="167"/>
      <c r="H149" s="118"/>
      <c r="I149" s="119"/>
      <c r="J149" s="119"/>
      <c r="K149" s="35"/>
    </row>
    <row r="150">
      <c r="B150" s="116"/>
      <c r="G150" s="167"/>
      <c r="H150" s="118"/>
      <c r="I150" s="119"/>
      <c r="J150" s="119"/>
      <c r="K150" s="35"/>
    </row>
    <row r="151">
      <c r="B151" s="116"/>
      <c r="G151" s="167"/>
      <c r="H151" s="118"/>
      <c r="I151" s="119"/>
      <c r="J151" s="119"/>
      <c r="K151" s="35"/>
    </row>
    <row r="152">
      <c r="B152" s="116"/>
      <c r="G152" s="167"/>
      <c r="H152" s="118"/>
      <c r="I152" s="119"/>
      <c r="J152" s="119"/>
      <c r="K152" s="35"/>
    </row>
    <row r="153">
      <c r="B153" s="116"/>
      <c r="G153" s="167"/>
      <c r="H153" s="118"/>
      <c r="I153" s="119"/>
      <c r="J153" s="119"/>
      <c r="K153" s="35"/>
    </row>
    <row r="154">
      <c r="B154" s="116"/>
      <c r="G154" s="167"/>
      <c r="H154" s="118"/>
      <c r="I154" s="119"/>
      <c r="J154" s="119"/>
      <c r="K154" s="35"/>
    </row>
    <row r="155">
      <c r="B155" s="116"/>
      <c r="G155" s="167"/>
      <c r="H155" s="118"/>
      <c r="I155" s="119"/>
      <c r="J155" s="119"/>
      <c r="K155" s="35"/>
    </row>
    <row r="156">
      <c r="B156" s="116"/>
      <c r="G156" s="167"/>
      <c r="H156" s="118"/>
      <c r="I156" s="119"/>
      <c r="J156" s="119"/>
      <c r="K156" s="35"/>
    </row>
    <row r="157">
      <c r="B157" s="116"/>
      <c r="G157" s="167"/>
      <c r="H157" s="118"/>
      <c r="I157" s="119"/>
      <c r="J157" s="119"/>
      <c r="K157" s="35"/>
    </row>
    <row r="158">
      <c r="B158" s="116"/>
      <c r="G158" s="167"/>
      <c r="H158" s="118"/>
      <c r="I158" s="119"/>
      <c r="J158" s="119"/>
      <c r="K158" s="35"/>
    </row>
    <row r="159">
      <c r="B159" s="116"/>
      <c r="G159" s="167"/>
      <c r="H159" s="118"/>
      <c r="I159" s="119"/>
      <c r="J159" s="119"/>
      <c r="K159" s="35"/>
    </row>
    <row r="160">
      <c r="B160" s="116"/>
      <c r="G160" s="167"/>
      <c r="H160" s="118"/>
      <c r="I160" s="119"/>
      <c r="J160" s="119"/>
      <c r="K160" s="35"/>
    </row>
    <row r="161">
      <c r="B161" s="116"/>
      <c r="G161" s="167"/>
      <c r="H161" s="118"/>
      <c r="I161" s="119"/>
      <c r="J161" s="119"/>
      <c r="K161" s="35"/>
    </row>
    <row r="162">
      <c r="B162" s="116"/>
      <c r="G162" s="167"/>
      <c r="H162" s="118"/>
      <c r="I162" s="119"/>
      <c r="J162" s="119"/>
      <c r="K162" s="35"/>
    </row>
    <row r="163">
      <c r="B163" s="116"/>
      <c r="G163" s="167"/>
      <c r="H163" s="118"/>
      <c r="I163" s="119"/>
      <c r="J163" s="119"/>
      <c r="K163" s="35"/>
    </row>
    <row r="164">
      <c r="B164" s="116"/>
      <c r="G164" s="167"/>
      <c r="H164" s="118"/>
      <c r="I164" s="119"/>
      <c r="J164" s="119"/>
      <c r="K164" s="35"/>
    </row>
    <row r="165">
      <c r="B165" s="116"/>
      <c r="G165" s="167"/>
      <c r="H165" s="118"/>
      <c r="I165" s="119"/>
      <c r="J165" s="119"/>
      <c r="K165" s="35"/>
    </row>
    <row r="166">
      <c r="B166" s="116"/>
      <c r="G166" s="167"/>
      <c r="H166" s="118"/>
      <c r="I166" s="119"/>
      <c r="J166" s="119"/>
      <c r="K166" s="35"/>
    </row>
    <row r="167">
      <c r="B167" s="116"/>
      <c r="G167" s="167"/>
      <c r="H167" s="118"/>
      <c r="I167" s="119"/>
      <c r="J167" s="119"/>
      <c r="K167" s="35"/>
    </row>
    <row r="168">
      <c r="B168" s="116"/>
      <c r="G168" s="167"/>
      <c r="H168" s="118"/>
      <c r="I168" s="119"/>
      <c r="J168" s="119"/>
      <c r="K168" s="35"/>
    </row>
    <row r="169">
      <c r="B169" s="116"/>
      <c r="G169" s="167"/>
      <c r="H169" s="118"/>
      <c r="I169" s="119"/>
      <c r="J169" s="119"/>
      <c r="K169" s="35"/>
    </row>
    <row r="170">
      <c r="B170" s="116"/>
      <c r="G170" s="167"/>
      <c r="H170" s="118"/>
      <c r="I170" s="119"/>
      <c r="J170" s="119"/>
      <c r="K170" s="35"/>
    </row>
    <row r="171">
      <c r="B171" s="116"/>
      <c r="G171" s="167"/>
      <c r="H171" s="118"/>
      <c r="I171" s="119"/>
      <c r="J171" s="119"/>
      <c r="K171" s="35"/>
    </row>
    <row r="172">
      <c r="B172" s="116"/>
      <c r="G172" s="167"/>
      <c r="H172" s="118"/>
      <c r="I172" s="119"/>
      <c r="J172" s="119"/>
      <c r="K172" s="35"/>
    </row>
    <row r="173">
      <c r="B173" s="116"/>
      <c r="G173" s="167"/>
      <c r="H173" s="118"/>
      <c r="I173" s="119"/>
      <c r="J173" s="119"/>
      <c r="K173" s="35"/>
    </row>
    <row r="174">
      <c r="B174" s="116"/>
      <c r="G174" s="167"/>
      <c r="H174" s="118"/>
      <c r="I174" s="119"/>
      <c r="J174" s="119"/>
      <c r="K174" s="35"/>
    </row>
    <row r="175">
      <c r="B175" s="116"/>
      <c r="G175" s="167"/>
      <c r="H175" s="118"/>
      <c r="I175" s="119"/>
      <c r="J175" s="119"/>
      <c r="K175" s="35"/>
    </row>
    <row r="176">
      <c r="B176" s="116"/>
      <c r="G176" s="167"/>
      <c r="H176" s="118"/>
      <c r="I176" s="119"/>
      <c r="J176" s="119"/>
      <c r="K176" s="35"/>
    </row>
    <row r="177">
      <c r="B177" s="116"/>
      <c r="G177" s="167"/>
      <c r="H177" s="118"/>
      <c r="I177" s="119"/>
      <c r="J177" s="119"/>
      <c r="K177" s="35"/>
    </row>
    <row r="178">
      <c r="B178" s="116"/>
      <c r="G178" s="167"/>
      <c r="H178" s="118"/>
      <c r="I178" s="119"/>
      <c r="J178" s="119"/>
      <c r="K178" s="35"/>
    </row>
    <row r="179">
      <c r="B179" s="116"/>
      <c r="G179" s="167"/>
      <c r="H179" s="118"/>
      <c r="I179" s="119"/>
      <c r="J179" s="119"/>
      <c r="K179" s="35"/>
    </row>
    <row r="180">
      <c r="B180" s="116"/>
      <c r="G180" s="167"/>
      <c r="H180" s="118"/>
      <c r="I180" s="119"/>
      <c r="J180" s="119"/>
      <c r="K180" s="35"/>
    </row>
    <row r="181">
      <c r="B181" s="116"/>
      <c r="G181" s="167"/>
      <c r="H181" s="118"/>
      <c r="I181" s="119"/>
      <c r="J181" s="119"/>
      <c r="K181" s="35"/>
    </row>
    <row r="182">
      <c r="B182" s="116"/>
      <c r="G182" s="167"/>
      <c r="H182" s="118"/>
      <c r="I182" s="119"/>
      <c r="J182" s="119"/>
      <c r="K182" s="35"/>
    </row>
    <row r="183">
      <c r="B183" s="116"/>
      <c r="G183" s="167"/>
      <c r="H183" s="118"/>
      <c r="I183" s="119"/>
      <c r="J183" s="119"/>
      <c r="K183" s="35"/>
    </row>
    <row r="184">
      <c r="B184" s="116"/>
      <c r="G184" s="167"/>
      <c r="H184" s="118"/>
      <c r="I184" s="119"/>
      <c r="J184" s="119"/>
      <c r="K184" s="35"/>
    </row>
    <row r="185">
      <c r="B185" s="116"/>
      <c r="G185" s="167"/>
      <c r="H185" s="118"/>
      <c r="I185" s="119"/>
      <c r="J185" s="119"/>
      <c r="K185" s="35"/>
    </row>
    <row r="186">
      <c r="B186" s="116"/>
      <c r="G186" s="167"/>
      <c r="H186" s="118"/>
      <c r="I186" s="119"/>
      <c r="J186" s="119"/>
      <c r="K186" s="35"/>
    </row>
    <row r="187">
      <c r="B187" s="116"/>
      <c r="G187" s="167"/>
      <c r="H187" s="118"/>
      <c r="I187" s="119"/>
      <c r="J187" s="119"/>
      <c r="K187" s="35"/>
    </row>
    <row r="188">
      <c r="B188" s="116"/>
      <c r="G188" s="167"/>
      <c r="H188" s="118"/>
      <c r="I188" s="119"/>
      <c r="J188" s="119"/>
      <c r="K188" s="35"/>
    </row>
    <row r="189">
      <c r="B189" s="116"/>
      <c r="G189" s="167"/>
      <c r="H189" s="118"/>
      <c r="I189" s="119"/>
      <c r="J189" s="119"/>
      <c r="K189" s="35"/>
    </row>
    <row r="190">
      <c r="B190" s="116"/>
      <c r="G190" s="167"/>
      <c r="H190" s="118"/>
      <c r="I190" s="119"/>
      <c r="J190" s="119"/>
      <c r="K190" s="35"/>
    </row>
    <row r="191">
      <c r="B191" s="116"/>
      <c r="G191" s="167"/>
      <c r="H191" s="118"/>
      <c r="I191" s="119"/>
      <c r="J191" s="119"/>
      <c r="K191" s="35"/>
    </row>
    <row r="192">
      <c r="B192" s="116"/>
      <c r="G192" s="167"/>
      <c r="H192" s="118"/>
      <c r="I192" s="119"/>
      <c r="J192" s="119"/>
      <c r="K192" s="35"/>
    </row>
    <row r="193">
      <c r="B193" s="116"/>
      <c r="G193" s="167"/>
      <c r="H193" s="118"/>
      <c r="I193" s="119"/>
      <c r="J193" s="119"/>
      <c r="K193" s="35"/>
    </row>
    <row r="194">
      <c r="B194" s="116"/>
      <c r="G194" s="167"/>
      <c r="H194" s="118"/>
      <c r="I194" s="119"/>
      <c r="J194" s="119"/>
      <c r="K194" s="35"/>
    </row>
    <row r="195">
      <c r="B195" s="116"/>
      <c r="G195" s="167"/>
      <c r="H195" s="118"/>
      <c r="I195" s="119"/>
      <c r="J195" s="119"/>
      <c r="K195" s="35"/>
    </row>
    <row r="196">
      <c r="B196" s="116"/>
      <c r="G196" s="167"/>
      <c r="H196" s="118"/>
      <c r="I196" s="119"/>
      <c r="J196" s="119"/>
      <c r="K196" s="35"/>
    </row>
    <row r="197">
      <c r="B197" s="116"/>
      <c r="G197" s="167"/>
      <c r="H197" s="118"/>
      <c r="I197" s="119"/>
      <c r="J197" s="119"/>
      <c r="K197" s="35"/>
    </row>
    <row r="198">
      <c r="B198" s="116"/>
      <c r="G198" s="167"/>
      <c r="H198" s="118"/>
      <c r="I198" s="119"/>
      <c r="J198" s="119"/>
      <c r="K198" s="35"/>
    </row>
    <row r="199">
      <c r="B199" s="116"/>
      <c r="G199" s="167"/>
      <c r="H199" s="118"/>
      <c r="I199" s="119"/>
      <c r="J199" s="119"/>
      <c r="K199" s="35"/>
    </row>
    <row r="200">
      <c r="B200" s="116"/>
      <c r="G200" s="167"/>
      <c r="H200" s="118"/>
      <c r="I200" s="119"/>
      <c r="J200" s="119"/>
      <c r="K200" s="35"/>
    </row>
    <row r="201">
      <c r="B201" s="116"/>
      <c r="G201" s="167"/>
      <c r="H201" s="118"/>
      <c r="I201" s="119"/>
      <c r="J201" s="119"/>
      <c r="K201" s="35"/>
    </row>
    <row r="202">
      <c r="B202" s="116"/>
      <c r="G202" s="167"/>
      <c r="H202" s="118"/>
      <c r="I202" s="119"/>
      <c r="J202" s="119"/>
      <c r="K202" s="35"/>
    </row>
    <row r="203">
      <c r="B203" s="116"/>
      <c r="G203" s="167"/>
      <c r="H203" s="118"/>
      <c r="I203" s="119"/>
      <c r="J203" s="119"/>
      <c r="K203" s="35"/>
    </row>
    <row r="204">
      <c r="B204" s="116"/>
      <c r="G204" s="167"/>
      <c r="H204" s="118"/>
      <c r="I204" s="119"/>
      <c r="J204" s="119"/>
      <c r="K204" s="35"/>
    </row>
    <row r="205">
      <c r="B205" s="116"/>
      <c r="G205" s="167"/>
      <c r="H205" s="118"/>
      <c r="I205" s="119"/>
      <c r="J205" s="119"/>
      <c r="K205" s="35"/>
    </row>
    <row r="206">
      <c r="B206" s="116"/>
      <c r="G206" s="167"/>
      <c r="H206" s="118"/>
      <c r="I206" s="119"/>
      <c r="J206" s="119"/>
      <c r="K206" s="35"/>
    </row>
    <row r="207">
      <c r="B207" s="116"/>
      <c r="G207" s="167"/>
      <c r="H207" s="118"/>
      <c r="I207" s="119"/>
      <c r="J207" s="119"/>
      <c r="K207" s="35"/>
    </row>
    <row r="208">
      <c r="B208" s="116"/>
      <c r="G208" s="167"/>
      <c r="H208" s="118"/>
      <c r="I208" s="119"/>
      <c r="J208" s="119"/>
      <c r="K208" s="35"/>
    </row>
    <row r="209">
      <c r="B209" s="116"/>
      <c r="G209" s="167"/>
      <c r="H209" s="118"/>
      <c r="I209" s="119"/>
      <c r="J209" s="119"/>
      <c r="K209" s="35"/>
    </row>
    <row r="210">
      <c r="B210" s="116"/>
      <c r="G210" s="167"/>
      <c r="H210" s="118"/>
      <c r="I210" s="119"/>
      <c r="J210" s="119"/>
      <c r="K210" s="35"/>
    </row>
    <row r="211">
      <c r="B211" s="116"/>
      <c r="G211" s="167"/>
      <c r="H211" s="118"/>
      <c r="I211" s="119"/>
      <c r="J211" s="119"/>
      <c r="K211" s="35"/>
    </row>
    <row r="212">
      <c r="B212" s="116"/>
      <c r="G212" s="167"/>
      <c r="H212" s="118"/>
      <c r="I212" s="119"/>
      <c r="J212" s="119"/>
      <c r="K212" s="35"/>
    </row>
    <row r="213">
      <c r="B213" s="116"/>
      <c r="G213" s="167"/>
      <c r="H213" s="118"/>
      <c r="I213" s="119"/>
      <c r="J213" s="119"/>
      <c r="K213" s="35"/>
    </row>
    <row r="214">
      <c r="B214" s="116"/>
      <c r="G214" s="167"/>
      <c r="H214" s="118"/>
      <c r="I214" s="119"/>
      <c r="J214" s="119"/>
      <c r="K214" s="35"/>
    </row>
    <row r="215">
      <c r="B215" s="116"/>
      <c r="G215" s="167"/>
      <c r="H215" s="118"/>
      <c r="I215" s="119"/>
      <c r="J215" s="119"/>
      <c r="K215" s="35"/>
    </row>
    <row r="216">
      <c r="B216" s="116"/>
      <c r="G216" s="167"/>
      <c r="H216" s="118"/>
      <c r="I216" s="119"/>
      <c r="J216" s="119"/>
      <c r="K216" s="35"/>
    </row>
    <row r="217">
      <c r="B217" s="116"/>
      <c r="G217" s="167"/>
      <c r="H217" s="118"/>
      <c r="I217" s="119"/>
      <c r="J217" s="119"/>
      <c r="K217" s="35"/>
    </row>
    <row r="218">
      <c r="B218" s="116"/>
      <c r="G218" s="167"/>
      <c r="H218" s="118"/>
      <c r="I218" s="119"/>
      <c r="J218" s="119"/>
      <c r="K218" s="35"/>
    </row>
    <row r="219">
      <c r="B219" s="116"/>
      <c r="G219" s="167"/>
      <c r="H219" s="118"/>
      <c r="I219" s="119"/>
      <c r="J219" s="119"/>
      <c r="K219" s="35"/>
    </row>
    <row r="220">
      <c r="B220" s="116"/>
      <c r="G220" s="167"/>
      <c r="H220" s="118"/>
      <c r="I220" s="119"/>
      <c r="J220" s="119"/>
      <c r="K220" s="35"/>
    </row>
    <row r="221">
      <c r="B221" s="116"/>
      <c r="G221" s="167"/>
      <c r="H221" s="118"/>
      <c r="I221" s="119"/>
      <c r="J221" s="119"/>
      <c r="K221" s="35"/>
    </row>
    <row r="222">
      <c r="B222" s="116"/>
      <c r="G222" s="167"/>
      <c r="H222" s="118"/>
      <c r="I222" s="119"/>
      <c r="J222" s="119"/>
      <c r="K222" s="35"/>
    </row>
    <row r="223">
      <c r="B223" s="116"/>
      <c r="G223" s="167"/>
      <c r="H223" s="118"/>
      <c r="I223" s="119"/>
      <c r="J223" s="119"/>
      <c r="K223" s="35"/>
    </row>
    <row r="224">
      <c r="B224" s="116"/>
      <c r="G224" s="167"/>
      <c r="H224" s="118"/>
      <c r="I224" s="119"/>
      <c r="J224" s="119"/>
      <c r="K224" s="35"/>
    </row>
    <row r="225">
      <c r="B225" s="116"/>
      <c r="G225" s="167"/>
      <c r="H225" s="118"/>
      <c r="I225" s="119"/>
      <c r="J225" s="119"/>
      <c r="K225" s="35"/>
    </row>
    <row r="226">
      <c r="B226" s="116"/>
      <c r="G226" s="167"/>
      <c r="H226" s="118"/>
      <c r="I226" s="119"/>
      <c r="J226" s="119"/>
      <c r="K226" s="35"/>
    </row>
    <row r="227">
      <c r="B227" s="116"/>
      <c r="G227" s="167"/>
      <c r="H227" s="118"/>
      <c r="I227" s="119"/>
      <c r="J227" s="119"/>
      <c r="K227" s="35"/>
    </row>
    <row r="228">
      <c r="B228" s="116"/>
      <c r="G228" s="167"/>
      <c r="H228" s="118"/>
      <c r="I228" s="119"/>
      <c r="J228" s="119"/>
      <c r="K228" s="35"/>
    </row>
    <row r="229">
      <c r="B229" s="116"/>
      <c r="G229" s="167"/>
      <c r="H229" s="118"/>
      <c r="I229" s="119"/>
      <c r="J229" s="119"/>
      <c r="K229" s="35"/>
    </row>
    <row r="230">
      <c r="B230" s="116"/>
      <c r="G230" s="167"/>
      <c r="H230" s="118"/>
      <c r="I230" s="119"/>
      <c r="J230" s="119"/>
      <c r="K230" s="35"/>
    </row>
    <row r="231">
      <c r="B231" s="116"/>
      <c r="G231" s="167"/>
      <c r="H231" s="118"/>
      <c r="I231" s="119"/>
      <c r="J231" s="119"/>
      <c r="K231" s="35"/>
    </row>
    <row r="232">
      <c r="B232" s="116"/>
      <c r="G232" s="167"/>
      <c r="H232" s="118"/>
      <c r="I232" s="119"/>
      <c r="J232" s="119"/>
      <c r="K232" s="35"/>
    </row>
    <row r="233">
      <c r="B233" s="116"/>
      <c r="G233" s="167"/>
      <c r="H233" s="118"/>
      <c r="I233" s="119"/>
      <c r="J233" s="119"/>
      <c r="K233" s="35"/>
    </row>
    <row r="234">
      <c r="B234" s="116"/>
      <c r="G234" s="167"/>
      <c r="H234" s="118"/>
      <c r="I234" s="119"/>
      <c r="J234" s="119"/>
      <c r="K234" s="35"/>
    </row>
    <row r="235">
      <c r="B235" s="116"/>
      <c r="G235" s="167"/>
      <c r="H235" s="118"/>
      <c r="I235" s="119"/>
      <c r="J235" s="119"/>
      <c r="K235" s="35"/>
    </row>
    <row r="236">
      <c r="B236" s="116"/>
      <c r="G236" s="167"/>
      <c r="H236" s="118"/>
      <c r="I236" s="119"/>
      <c r="J236" s="119"/>
      <c r="K236" s="35"/>
    </row>
    <row r="237">
      <c r="B237" s="116"/>
      <c r="G237" s="167"/>
      <c r="H237" s="118"/>
      <c r="I237" s="119"/>
      <c r="J237" s="119"/>
      <c r="K237" s="35"/>
    </row>
    <row r="238">
      <c r="B238" s="116"/>
      <c r="G238" s="167"/>
      <c r="H238" s="118"/>
      <c r="I238" s="119"/>
      <c r="J238" s="119"/>
      <c r="K238" s="35"/>
    </row>
    <row r="239">
      <c r="B239" s="116"/>
      <c r="G239" s="167"/>
      <c r="H239" s="118"/>
      <c r="I239" s="119"/>
      <c r="J239" s="119"/>
      <c r="K239" s="35"/>
    </row>
    <row r="240">
      <c r="B240" s="116"/>
      <c r="G240" s="167"/>
      <c r="H240" s="118"/>
      <c r="I240" s="119"/>
      <c r="J240" s="119"/>
      <c r="K240" s="35"/>
    </row>
    <row r="241">
      <c r="B241" s="116"/>
      <c r="G241" s="167"/>
      <c r="H241" s="118"/>
      <c r="I241" s="119"/>
      <c r="J241" s="119"/>
      <c r="K241" s="35"/>
    </row>
    <row r="242">
      <c r="B242" s="116"/>
      <c r="G242" s="167"/>
      <c r="H242" s="118"/>
      <c r="I242" s="119"/>
      <c r="J242" s="119"/>
      <c r="K242" s="35"/>
    </row>
    <row r="243">
      <c r="B243" s="116"/>
      <c r="G243" s="167"/>
      <c r="H243" s="118"/>
      <c r="I243" s="119"/>
      <c r="J243" s="119"/>
      <c r="K243" s="35"/>
    </row>
    <row r="244">
      <c r="B244" s="116"/>
      <c r="G244" s="167"/>
      <c r="H244" s="118"/>
      <c r="I244" s="119"/>
      <c r="J244" s="119"/>
      <c r="K244" s="35"/>
    </row>
    <row r="245">
      <c r="B245" s="116"/>
      <c r="G245" s="167"/>
      <c r="H245" s="118"/>
      <c r="I245" s="119"/>
      <c r="J245" s="119"/>
      <c r="K245" s="35"/>
    </row>
    <row r="246">
      <c r="B246" s="116"/>
      <c r="G246" s="167"/>
      <c r="H246" s="118"/>
      <c r="I246" s="119"/>
      <c r="J246" s="119"/>
      <c r="K246" s="35"/>
    </row>
    <row r="247">
      <c r="B247" s="116"/>
      <c r="G247" s="167"/>
      <c r="H247" s="118"/>
      <c r="I247" s="119"/>
      <c r="J247" s="119"/>
      <c r="K247" s="35"/>
    </row>
    <row r="248">
      <c r="B248" s="116"/>
      <c r="G248" s="167"/>
      <c r="H248" s="118"/>
      <c r="I248" s="119"/>
      <c r="J248" s="119"/>
      <c r="K248" s="35"/>
    </row>
    <row r="249">
      <c r="B249" s="116"/>
      <c r="G249" s="167"/>
      <c r="H249" s="118"/>
      <c r="I249" s="119"/>
      <c r="J249" s="119"/>
      <c r="K249" s="35"/>
    </row>
    <row r="250">
      <c r="B250" s="116"/>
      <c r="G250" s="167"/>
      <c r="H250" s="118"/>
      <c r="I250" s="119"/>
      <c r="J250" s="119"/>
      <c r="K250" s="35"/>
    </row>
    <row r="251">
      <c r="B251" s="116"/>
      <c r="G251" s="167"/>
      <c r="H251" s="118"/>
      <c r="I251" s="119"/>
      <c r="J251" s="119"/>
      <c r="K251" s="35"/>
    </row>
    <row r="252">
      <c r="B252" s="116"/>
      <c r="G252" s="167"/>
      <c r="H252" s="118"/>
      <c r="I252" s="119"/>
      <c r="J252" s="119"/>
      <c r="K252" s="35"/>
    </row>
    <row r="253">
      <c r="B253" s="116"/>
      <c r="G253" s="167"/>
      <c r="H253" s="118"/>
      <c r="I253" s="119"/>
      <c r="J253" s="119"/>
      <c r="K253" s="35"/>
    </row>
    <row r="254">
      <c r="B254" s="116"/>
      <c r="G254" s="167"/>
      <c r="H254" s="118"/>
      <c r="I254" s="119"/>
      <c r="J254" s="119"/>
      <c r="K254" s="35"/>
    </row>
    <row r="255">
      <c r="B255" s="116"/>
      <c r="G255" s="167"/>
      <c r="H255" s="118"/>
      <c r="I255" s="119"/>
      <c r="J255" s="119"/>
      <c r="K255" s="35"/>
    </row>
    <row r="256">
      <c r="B256" s="116"/>
      <c r="G256" s="167"/>
      <c r="H256" s="118"/>
      <c r="I256" s="119"/>
      <c r="J256" s="119"/>
      <c r="K256" s="35"/>
    </row>
    <row r="257">
      <c r="B257" s="116"/>
      <c r="G257" s="167"/>
      <c r="H257" s="118"/>
      <c r="I257" s="119"/>
      <c r="J257" s="119"/>
      <c r="K257" s="35"/>
    </row>
    <row r="258">
      <c r="B258" s="116"/>
      <c r="G258" s="167"/>
      <c r="H258" s="118"/>
      <c r="I258" s="119"/>
      <c r="J258" s="119"/>
      <c r="K258" s="35"/>
    </row>
    <row r="259">
      <c r="B259" s="116"/>
      <c r="G259" s="167"/>
      <c r="H259" s="118"/>
      <c r="I259" s="119"/>
      <c r="J259" s="119"/>
      <c r="K259" s="35"/>
    </row>
    <row r="260">
      <c r="B260" s="116"/>
      <c r="G260" s="167"/>
      <c r="H260" s="118"/>
      <c r="I260" s="119"/>
      <c r="J260" s="119"/>
      <c r="K260" s="35"/>
    </row>
    <row r="261">
      <c r="B261" s="116"/>
      <c r="G261" s="167"/>
      <c r="H261" s="118"/>
      <c r="I261" s="119"/>
      <c r="J261" s="119"/>
      <c r="K261" s="35"/>
    </row>
    <row r="262">
      <c r="B262" s="116"/>
      <c r="G262" s="167"/>
      <c r="H262" s="118"/>
      <c r="I262" s="119"/>
      <c r="J262" s="119"/>
      <c r="K262" s="35"/>
    </row>
    <row r="263">
      <c r="B263" s="116"/>
      <c r="G263" s="167"/>
      <c r="H263" s="118"/>
      <c r="I263" s="119"/>
      <c r="J263" s="119"/>
      <c r="K263" s="35"/>
    </row>
    <row r="264">
      <c r="B264" s="116"/>
      <c r="G264" s="167"/>
      <c r="H264" s="118"/>
      <c r="I264" s="119"/>
      <c r="J264" s="119"/>
      <c r="K264" s="35"/>
    </row>
    <row r="265">
      <c r="B265" s="116"/>
      <c r="G265" s="167"/>
      <c r="H265" s="118"/>
      <c r="I265" s="119"/>
      <c r="J265" s="119"/>
      <c r="K265" s="35"/>
    </row>
    <row r="266">
      <c r="B266" s="116"/>
      <c r="G266" s="167"/>
      <c r="H266" s="118"/>
      <c r="I266" s="119"/>
      <c r="J266" s="119"/>
      <c r="K266" s="35"/>
    </row>
    <row r="267">
      <c r="B267" s="116"/>
      <c r="G267" s="167"/>
      <c r="H267" s="118"/>
      <c r="I267" s="119"/>
      <c r="J267" s="119"/>
      <c r="K267" s="35"/>
    </row>
    <row r="268">
      <c r="B268" s="116"/>
      <c r="G268" s="167"/>
      <c r="H268" s="118"/>
      <c r="I268" s="119"/>
      <c r="J268" s="119"/>
      <c r="K268" s="35"/>
    </row>
    <row r="269">
      <c r="B269" s="116"/>
      <c r="G269" s="167"/>
      <c r="H269" s="118"/>
      <c r="I269" s="119"/>
      <c r="J269" s="119"/>
      <c r="K269" s="35"/>
    </row>
    <row r="270">
      <c r="B270" s="116"/>
      <c r="G270" s="167"/>
      <c r="H270" s="118"/>
      <c r="I270" s="119"/>
      <c r="J270" s="119"/>
      <c r="K270" s="35"/>
    </row>
    <row r="271">
      <c r="B271" s="116"/>
      <c r="G271" s="167"/>
      <c r="H271" s="118"/>
      <c r="I271" s="119"/>
      <c r="J271" s="119"/>
      <c r="K271" s="35"/>
    </row>
    <row r="272">
      <c r="B272" s="116"/>
      <c r="G272" s="167"/>
      <c r="H272" s="118"/>
      <c r="I272" s="119"/>
      <c r="J272" s="119"/>
      <c r="K272" s="35"/>
    </row>
    <row r="273">
      <c r="B273" s="116"/>
      <c r="G273" s="167"/>
      <c r="H273" s="118"/>
      <c r="I273" s="119"/>
      <c r="J273" s="119"/>
      <c r="K273" s="35"/>
    </row>
    <row r="274">
      <c r="B274" s="116"/>
      <c r="G274" s="167"/>
      <c r="H274" s="118"/>
      <c r="I274" s="119"/>
      <c r="J274" s="119"/>
      <c r="K274" s="35"/>
    </row>
    <row r="275">
      <c r="B275" s="116"/>
      <c r="G275" s="167"/>
      <c r="H275" s="118"/>
      <c r="I275" s="119"/>
      <c r="J275" s="119"/>
      <c r="K275" s="35"/>
    </row>
    <row r="276">
      <c r="B276" s="116"/>
      <c r="G276" s="167"/>
      <c r="H276" s="118"/>
      <c r="I276" s="119"/>
      <c r="J276" s="119"/>
      <c r="K276" s="35"/>
    </row>
    <row r="277">
      <c r="B277" s="116"/>
      <c r="G277" s="167"/>
      <c r="H277" s="118"/>
      <c r="I277" s="119"/>
      <c r="J277" s="119"/>
      <c r="K277" s="35"/>
    </row>
    <row r="278">
      <c r="B278" s="116"/>
      <c r="G278" s="167"/>
      <c r="H278" s="118"/>
      <c r="I278" s="119"/>
      <c r="J278" s="119"/>
      <c r="K278" s="35"/>
    </row>
    <row r="279">
      <c r="B279" s="116"/>
      <c r="G279" s="167"/>
      <c r="H279" s="118"/>
      <c r="I279" s="119"/>
      <c r="J279" s="119"/>
      <c r="K279" s="35"/>
    </row>
    <row r="280">
      <c r="B280" s="116"/>
      <c r="G280" s="167"/>
      <c r="H280" s="118"/>
      <c r="I280" s="119"/>
      <c r="J280" s="119"/>
      <c r="K280" s="35"/>
    </row>
    <row r="281">
      <c r="B281" s="116"/>
      <c r="G281" s="167"/>
      <c r="H281" s="118"/>
      <c r="I281" s="119"/>
      <c r="J281" s="119"/>
      <c r="K281" s="35"/>
    </row>
    <row r="282">
      <c r="B282" s="116"/>
      <c r="G282" s="167"/>
      <c r="H282" s="118"/>
      <c r="I282" s="119"/>
      <c r="J282" s="119"/>
      <c r="K282" s="35"/>
    </row>
    <row r="283">
      <c r="B283" s="116"/>
      <c r="G283" s="167"/>
      <c r="H283" s="118"/>
      <c r="I283" s="119"/>
      <c r="J283" s="119"/>
      <c r="K283" s="35"/>
    </row>
    <row r="284">
      <c r="B284" s="116"/>
      <c r="G284" s="167"/>
      <c r="H284" s="118"/>
      <c r="I284" s="119"/>
      <c r="J284" s="119"/>
      <c r="K284" s="35"/>
    </row>
    <row r="285">
      <c r="B285" s="116"/>
      <c r="G285" s="167"/>
      <c r="H285" s="118"/>
      <c r="I285" s="119"/>
      <c r="J285" s="119"/>
      <c r="K285" s="35"/>
    </row>
    <row r="286">
      <c r="B286" s="116"/>
      <c r="G286" s="167"/>
      <c r="H286" s="118"/>
      <c r="I286" s="119"/>
      <c r="J286" s="119"/>
      <c r="K286" s="35"/>
    </row>
    <row r="287">
      <c r="B287" s="116"/>
      <c r="G287" s="167"/>
      <c r="H287" s="118"/>
      <c r="I287" s="119"/>
      <c r="J287" s="119"/>
      <c r="K287" s="35"/>
    </row>
    <row r="288">
      <c r="B288" s="116"/>
      <c r="G288" s="167"/>
      <c r="H288" s="118"/>
      <c r="I288" s="119"/>
      <c r="J288" s="119"/>
      <c r="K288" s="35"/>
    </row>
    <row r="289">
      <c r="B289" s="116"/>
      <c r="G289" s="167"/>
      <c r="H289" s="118"/>
      <c r="I289" s="119"/>
      <c r="J289" s="119"/>
      <c r="K289" s="35"/>
    </row>
    <row r="290">
      <c r="B290" s="116"/>
      <c r="G290" s="167"/>
      <c r="H290" s="118"/>
      <c r="I290" s="119"/>
      <c r="J290" s="119"/>
      <c r="K290" s="35"/>
    </row>
    <row r="291">
      <c r="B291" s="116"/>
      <c r="G291" s="167"/>
      <c r="H291" s="118"/>
      <c r="I291" s="119"/>
      <c r="J291" s="119"/>
      <c r="K291" s="35"/>
    </row>
    <row r="292">
      <c r="B292" s="116"/>
      <c r="G292" s="167"/>
      <c r="H292" s="118"/>
      <c r="I292" s="119"/>
      <c r="J292" s="119"/>
      <c r="K292" s="35"/>
    </row>
    <row r="293">
      <c r="B293" s="116"/>
      <c r="G293" s="167"/>
      <c r="H293" s="118"/>
      <c r="I293" s="119"/>
      <c r="J293" s="119"/>
      <c r="K293" s="35"/>
    </row>
    <row r="294">
      <c r="B294" s="116"/>
      <c r="G294" s="167"/>
      <c r="H294" s="118"/>
      <c r="I294" s="119"/>
      <c r="J294" s="119"/>
      <c r="K294" s="35"/>
    </row>
    <row r="295">
      <c r="B295" s="116"/>
      <c r="G295" s="167"/>
      <c r="H295" s="118"/>
      <c r="I295" s="119"/>
      <c r="J295" s="119"/>
      <c r="K295" s="35"/>
    </row>
    <row r="296">
      <c r="B296" s="116"/>
      <c r="G296" s="167"/>
      <c r="H296" s="118"/>
      <c r="I296" s="119"/>
      <c r="J296" s="119"/>
      <c r="K296" s="35"/>
    </row>
    <row r="297">
      <c r="B297" s="116"/>
      <c r="G297" s="167"/>
      <c r="H297" s="118"/>
      <c r="I297" s="119"/>
      <c r="J297" s="119"/>
      <c r="K297" s="35"/>
    </row>
    <row r="298">
      <c r="B298" s="116"/>
      <c r="G298" s="167"/>
      <c r="H298" s="118"/>
      <c r="I298" s="119"/>
      <c r="J298" s="119"/>
      <c r="K298" s="35"/>
    </row>
    <row r="299">
      <c r="B299" s="116"/>
      <c r="G299" s="167"/>
      <c r="H299" s="118"/>
      <c r="I299" s="119"/>
      <c r="J299" s="119"/>
      <c r="K299" s="35"/>
    </row>
    <row r="300">
      <c r="B300" s="116"/>
      <c r="G300" s="167"/>
      <c r="H300" s="118"/>
      <c r="I300" s="119"/>
      <c r="J300" s="119"/>
      <c r="K300" s="35"/>
    </row>
    <row r="301">
      <c r="B301" s="116"/>
      <c r="G301" s="167"/>
      <c r="H301" s="118"/>
      <c r="I301" s="119"/>
      <c r="J301" s="119"/>
      <c r="K301" s="35"/>
    </row>
    <row r="302">
      <c r="B302" s="116"/>
      <c r="G302" s="167"/>
      <c r="H302" s="118"/>
      <c r="I302" s="119"/>
      <c r="J302" s="119"/>
      <c r="K302" s="35"/>
    </row>
    <row r="303">
      <c r="B303" s="116"/>
      <c r="G303" s="167"/>
      <c r="H303" s="118"/>
      <c r="I303" s="119"/>
      <c r="J303" s="119"/>
      <c r="K303" s="35"/>
    </row>
    <row r="304">
      <c r="B304" s="116"/>
      <c r="G304" s="167"/>
      <c r="H304" s="118"/>
      <c r="I304" s="119"/>
      <c r="J304" s="119"/>
      <c r="K304" s="35"/>
    </row>
    <row r="305">
      <c r="B305" s="116"/>
      <c r="G305" s="167"/>
      <c r="H305" s="118"/>
      <c r="I305" s="119"/>
      <c r="J305" s="119"/>
      <c r="K305" s="35"/>
    </row>
    <row r="306">
      <c r="B306" s="116"/>
      <c r="G306" s="167"/>
      <c r="H306" s="118"/>
      <c r="I306" s="119"/>
      <c r="J306" s="119"/>
      <c r="K306" s="35"/>
    </row>
    <row r="307">
      <c r="B307" s="116"/>
      <c r="G307" s="167"/>
      <c r="H307" s="118"/>
      <c r="I307" s="119"/>
      <c r="J307" s="119"/>
      <c r="K307" s="35"/>
    </row>
    <row r="308">
      <c r="B308" s="116"/>
      <c r="G308" s="167"/>
      <c r="H308" s="118"/>
      <c r="I308" s="119"/>
      <c r="J308" s="119"/>
      <c r="K308" s="35"/>
    </row>
    <row r="309">
      <c r="B309" s="116"/>
      <c r="G309" s="167"/>
      <c r="H309" s="118"/>
      <c r="I309" s="119"/>
      <c r="J309" s="119"/>
      <c r="K309" s="35"/>
    </row>
    <row r="310">
      <c r="B310" s="116"/>
      <c r="G310" s="167"/>
      <c r="H310" s="118"/>
      <c r="I310" s="119"/>
      <c r="J310" s="119"/>
      <c r="K310" s="35"/>
    </row>
    <row r="311">
      <c r="B311" s="116"/>
      <c r="G311" s="167"/>
      <c r="H311" s="118"/>
      <c r="I311" s="119"/>
      <c r="J311" s="119"/>
      <c r="K311" s="35"/>
    </row>
    <row r="312">
      <c r="B312" s="116"/>
      <c r="G312" s="167"/>
      <c r="H312" s="118"/>
      <c r="I312" s="119"/>
      <c r="J312" s="119"/>
      <c r="K312" s="35"/>
    </row>
    <row r="313">
      <c r="B313" s="116"/>
      <c r="G313" s="167"/>
      <c r="H313" s="118"/>
      <c r="I313" s="119"/>
      <c r="J313" s="119"/>
      <c r="K313" s="35"/>
    </row>
    <row r="314">
      <c r="B314" s="116"/>
      <c r="G314" s="167"/>
      <c r="H314" s="118"/>
      <c r="I314" s="119"/>
      <c r="J314" s="119"/>
      <c r="K314" s="35"/>
    </row>
    <row r="315">
      <c r="B315" s="116"/>
      <c r="G315" s="167"/>
      <c r="H315" s="118"/>
      <c r="I315" s="119"/>
      <c r="J315" s="119"/>
      <c r="K315" s="35"/>
    </row>
    <row r="316">
      <c r="B316" s="116"/>
      <c r="G316" s="167"/>
      <c r="H316" s="118"/>
      <c r="I316" s="119"/>
      <c r="J316" s="119"/>
      <c r="K316" s="35"/>
    </row>
    <row r="317">
      <c r="B317" s="116"/>
      <c r="G317" s="167"/>
      <c r="H317" s="118"/>
      <c r="I317" s="119"/>
      <c r="J317" s="119"/>
      <c r="K317" s="35"/>
    </row>
    <row r="318">
      <c r="B318" s="116"/>
      <c r="G318" s="167"/>
      <c r="H318" s="118"/>
      <c r="I318" s="119"/>
      <c r="J318" s="119"/>
      <c r="K318" s="35"/>
    </row>
    <row r="319">
      <c r="B319" s="116"/>
      <c r="G319" s="167"/>
      <c r="H319" s="118"/>
      <c r="I319" s="119"/>
      <c r="J319" s="119"/>
      <c r="K319" s="35"/>
    </row>
    <row r="320">
      <c r="B320" s="116"/>
      <c r="G320" s="167"/>
      <c r="H320" s="118"/>
      <c r="I320" s="119"/>
      <c r="J320" s="119"/>
      <c r="K320" s="35"/>
    </row>
    <row r="321">
      <c r="B321" s="116"/>
      <c r="G321" s="167"/>
      <c r="H321" s="118"/>
      <c r="I321" s="119"/>
      <c r="J321" s="119"/>
      <c r="K321" s="35"/>
    </row>
    <row r="322">
      <c r="B322" s="116"/>
      <c r="G322" s="167"/>
      <c r="H322" s="118"/>
      <c r="I322" s="119"/>
      <c r="J322" s="119"/>
      <c r="K322" s="35"/>
    </row>
    <row r="323">
      <c r="B323" s="116"/>
      <c r="G323" s="167"/>
      <c r="H323" s="118"/>
      <c r="I323" s="119"/>
      <c r="J323" s="119"/>
      <c r="K323" s="35"/>
    </row>
    <row r="324">
      <c r="B324" s="116"/>
      <c r="G324" s="167"/>
      <c r="H324" s="118"/>
      <c r="I324" s="119"/>
      <c r="J324" s="119"/>
      <c r="K324" s="35"/>
    </row>
    <row r="325">
      <c r="B325" s="116"/>
      <c r="G325" s="167"/>
      <c r="H325" s="118"/>
      <c r="I325" s="119"/>
      <c r="J325" s="119"/>
      <c r="K325" s="35"/>
    </row>
    <row r="326">
      <c r="B326" s="116"/>
      <c r="G326" s="167"/>
      <c r="H326" s="118"/>
      <c r="I326" s="119"/>
      <c r="J326" s="119"/>
      <c r="K326" s="35"/>
    </row>
    <row r="327">
      <c r="B327" s="116"/>
      <c r="G327" s="167"/>
      <c r="H327" s="118"/>
      <c r="I327" s="119"/>
      <c r="J327" s="119"/>
      <c r="K327" s="35"/>
    </row>
    <row r="328">
      <c r="B328" s="116"/>
      <c r="G328" s="167"/>
      <c r="H328" s="118"/>
      <c r="I328" s="119"/>
      <c r="J328" s="119"/>
      <c r="K328" s="35"/>
    </row>
    <row r="329">
      <c r="B329" s="116"/>
      <c r="G329" s="167"/>
      <c r="H329" s="118"/>
      <c r="I329" s="119"/>
      <c r="J329" s="119"/>
      <c r="K329" s="35"/>
    </row>
    <row r="330">
      <c r="B330" s="116"/>
      <c r="G330" s="167"/>
      <c r="H330" s="118"/>
      <c r="I330" s="119"/>
      <c r="J330" s="119"/>
      <c r="K330" s="35"/>
    </row>
    <row r="331">
      <c r="B331" s="116"/>
      <c r="G331" s="167"/>
      <c r="H331" s="118"/>
      <c r="I331" s="119"/>
      <c r="J331" s="119"/>
      <c r="K331" s="35"/>
    </row>
    <row r="332">
      <c r="B332" s="116"/>
      <c r="G332" s="167"/>
      <c r="H332" s="118"/>
      <c r="I332" s="119"/>
      <c r="J332" s="119"/>
      <c r="K332" s="35"/>
    </row>
    <row r="333">
      <c r="B333" s="116"/>
      <c r="G333" s="167"/>
      <c r="H333" s="118"/>
      <c r="I333" s="119"/>
      <c r="J333" s="119"/>
      <c r="K333" s="35"/>
    </row>
    <row r="334">
      <c r="B334" s="116"/>
      <c r="G334" s="167"/>
      <c r="H334" s="118"/>
      <c r="I334" s="119"/>
      <c r="J334" s="119"/>
      <c r="K334" s="35"/>
    </row>
    <row r="335">
      <c r="B335" s="116"/>
      <c r="G335" s="167"/>
      <c r="H335" s="118"/>
      <c r="I335" s="119"/>
      <c r="J335" s="119"/>
      <c r="K335" s="35"/>
    </row>
    <row r="336">
      <c r="B336" s="116"/>
      <c r="G336" s="167"/>
      <c r="H336" s="118"/>
      <c r="I336" s="119"/>
      <c r="J336" s="119"/>
      <c r="K336" s="35"/>
    </row>
    <row r="337">
      <c r="B337" s="116"/>
      <c r="G337" s="167"/>
      <c r="H337" s="118"/>
      <c r="I337" s="119"/>
      <c r="J337" s="119"/>
      <c r="K337" s="35"/>
    </row>
    <row r="338">
      <c r="B338" s="116"/>
      <c r="G338" s="167"/>
      <c r="H338" s="118"/>
      <c r="I338" s="119"/>
      <c r="J338" s="119"/>
      <c r="K338" s="35"/>
    </row>
    <row r="339">
      <c r="B339" s="116"/>
      <c r="G339" s="167"/>
      <c r="H339" s="118"/>
      <c r="I339" s="119"/>
      <c r="J339" s="119"/>
      <c r="K339" s="35"/>
    </row>
    <row r="340">
      <c r="B340" s="116"/>
      <c r="G340" s="167"/>
      <c r="H340" s="118"/>
      <c r="I340" s="119"/>
      <c r="J340" s="119"/>
      <c r="K340" s="35"/>
    </row>
    <row r="341">
      <c r="B341" s="116"/>
      <c r="G341" s="167"/>
      <c r="H341" s="118"/>
      <c r="I341" s="119"/>
      <c r="J341" s="119"/>
      <c r="K341" s="35"/>
    </row>
    <row r="342">
      <c r="B342" s="116"/>
      <c r="G342" s="167"/>
      <c r="H342" s="118"/>
      <c r="I342" s="119"/>
      <c r="J342" s="119"/>
      <c r="K342" s="35"/>
    </row>
    <row r="343">
      <c r="B343" s="116"/>
      <c r="G343" s="167"/>
      <c r="H343" s="118"/>
      <c r="I343" s="119"/>
      <c r="J343" s="119"/>
      <c r="K343" s="35"/>
    </row>
    <row r="344">
      <c r="B344" s="116"/>
      <c r="G344" s="167"/>
      <c r="H344" s="118"/>
      <c r="I344" s="119"/>
      <c r="J344" s="119"/>
      <c r="K344" s="35"/>
    </row>
    <row r="345">
      <c r="B345" s="116"/>
      <c r="G345" s="167"/>
      <c r="H345" s="118"/>
      <c r="I345" s="119"/>
      <c r="J345" s="119"/>
      <c r="K345" s="35"/>
    </row>
    <row r="346">
      <c r="B346" s="116"/>
      <c r="G346" s="167"/>
      <c r="H346" s="118"/>
      <c r="I346" s="119"/>
      <c r="J346" s="119"/>
      <c r="K346" s="35"/>
    </row>
    <row r="347">
      <c r="B347" s="116"/>
      <c r="G347" s="167"/>
      <c r="H347" s="118"/>
      <c r="I347" s="119"/>
      <c r="J347" s="119"/>
      <c r="K347" s="35"/>
    </row>
    <row r="348">
      <c r="B348" s="116"/>
      <c r="G348" s="167"/>
      <c r="H348" s="118"/>
      <c r="I348" s="119"/>
      <c r="J348" s="119"/>
      <c r="K348" s="35"/>
    </row>
    <row r="349">
      <c r="B349" s="116"/>
      <c r="G349" s="167"/>
      <c r="H349" s="118"/>
      <c r="I349" s="119"/>
      <c r="J349" s="119"/>
      <c r="K349" s="35"/>
    </row>
    <row r="350">
      <c r="B350" s="116"/>
      <c r="G350" s="167"/>
      <c r="H350" s="118"/>
      <c r="I350" s="119"/>
      <c r="J350" s="119"/>
      <c r="K350" s="35"/>
    </row>
    <row r="351">
      <c r="B351" s="116"/>
      <c r="G351" s="167"/>
      <c r="H351" s="118"/>
      <c r="I351" s="119"/>
      <c r="J351" s="119"/>
      <c r="K351" s="35"/>
    </row>
    <row r="352">
      <c r="B352" s="116"/>
      <c r="G352" s="167"/>
      <c r="H352" s="118"/>
      <c r="I352" s="119"/>
      <c r="J352" s="119"/>
      <c r="K352" s="35"/>
    </row>
    <row r="353">
      <c r="B353" s="116"/>
      <c r="G353" s="167"/>
      <c r="H353" s="118"/>
      <c r="I353" s="119"/>
      <c r="J353" s="119"/>
      <c r="K353" s="35"/>
    </row>
    <row r="354">
      <c r="B354" s="116"/>
      <c r="G354" s="167"/>
      <c r="H354" s="118"/>
      <c r="I354" s="119"/>
      <c r="J354" s="119"/>
      <c r="K354" s="35"/>
    </row>
    <row r="355">
      <c r="B355" s="116"/>
      <c r="G355" s="167"/>
      <c r="H355" s="118"/>
      <c r="I355" s="119"/>
      <c r="J355" s="119"/>
      <c r="K355" s="35"/>
    </row>
    <row r="356">
      <c r="B356" s="116"/>
      <c r="G356" s="167"/>
      <c r="H356" s="118"/>
      <c r="I356" s="119"/>
      <c r="J356" s="119"/>
      <c r="K356" s="35"/>
    </row>
    <row r="357">
      <c r="B357" s="116"/>
      <c r="G357" s="167"/>
      <c r="H357" s="118"/>
      <c r="I357" s="119"/>
      <c r="J357" s="119"/>
      <c r="K357" s="35"/>
    </row>
    <row r="358">
      <c r="B358" s="116"/>
      <c r="G358" s="167"/>
      <c r="H358" s="118"/>
      <c r="I358" s="119"/>
      <c r="J358" s="119"/>
      <c r="K358" s="35"/>
    </row>
    <row r="359">
      <c r="B359" s="116"/>
      <c r="G359" s="167"/>
      <c r="H359" s="118"/>
      <c r="I359" s="119"/>
      <c r="J359" s="119"/>
      <c r="K359" s="35"/>
    </row>
    <row r="360">
      <c r="B360" s="116"/>
      <c r="G360" s="167"/>
      <c r="H360" s="118"/>
      <c r="I360" s="119"/>
      <c r="J360" s="119"/>
      <c r="K360" s="35"/>
    </row>
    <row r="361">
      <c r="B361" s="116"/>
      <c r="G361" s="167"/>
      <c r="H361" s="118"/>
      <c r="I361" s="119"/>
      <c r="J361" s="119"/>
      <c r="K361" s="35"/>
    </row>
    <row r="362">
      <c r="B362" s="116"/>
      <c r="G362" s="167"/>
      <c r="H362" s="118"/>
      <c r="I362" s="119"/>
      <c r="J362" s="119"/>
      <c r="K362" s="35"/>
    </row>
    <row r="363">
      <c r="B363" s="116"/>
      <c r="G363" s="167"/>
      <c r="H363" s="118"/>
      <c r="I363" s="119"/>
      <c r="J363" s="119"/>
      <c r="K363" s="35"/>
    </row>
    <row r="364">
      <c r="B364" s="116"/>
      <c r="G364" s="167"/>
      <c r="H364" s="118"/>
      <c r="I364" s="119"/>
      <c r="J364" s="119"/>
      <c r="K364" s="35"/>
    </row>
    <row r="365">
      <c r="B365" s="116"/>
      <c r="G365" s="167"/>
      <c r="H365" s="118"/>
      <c r="I365" s="119"/>
      <c r="J365" s="119"/>
      <c r="K365" s="35"/>
    </row>
    <row r="366">
      <c r="B366" s="116"/>
      <c r="G366" s="167"/>
      <c r="H366" s="118"/>
      <c r="I366" s="119"/>
      <c r="J366" s="119"/>
      <c r="K366" s="35"/>
    </row>
    <row r="367">
      <c r="B367" s="116"/>
      <c r="G367" s="167"/>
      <c r="H367" s="118"/>
      <c r="I367" s="119"/>
      <c r="J367" s="119"/>
      <c r="K367" s="35"/>
    </row>
    <row r="368">
      <c r="B368" s="116"/>
      <c r="G368" s="167"/>
      <c r="H368" s="118"/>
      <c r="I368" s="119"/>
      <c r="J368" s="119"/>
      <c r="K368" s="35"/>
    </row>
    <row r="369">
      <c r="B369" s="116"/>
      <c r="G369" s="167"/>
      <c r="H369" s="118"/>
      <c r="I369" s="119"/>
      <c r="J369" s="119"/>
      <c r="K369" s="35"/>
    </row>
    <row r="370">
      <c r="B370" s="116"/>
      <c r="G370" s="167"/>
      <c r="H370" s="118"/>
      <c r="I370" s="119"/>
      <c r="J370" s="119"/>
      <c r="K370" s="35"/>
    </row>
    <row r="371">
      <c r="B371" s="116"/>
      <c r="G371" s="167"/>
      <c r="H371" s="118"/>
      <c r="I371" s="119"/>
      <c r="J371" s="119"/>
      <c r="K371" s="35"/>
    </row>
    <row r="372">
      <c r="B372" s="116"/>
      <c r="G372" s="167"/>
      <c r="H372" s="118"/>
      <c r="I372" s="119"/>
      <c r="J372" s="119"/>
      <c r="K372" s="35"/>
    </row>
    <row r="373">
      <c r="B373" s="116"/>
      <c r="G373" s="167"/>
      <c r="H373" s="118"/>
      <c r="I373" s="119"/>
      <c r="J373" s="119"/>
      <c r="K373" s="35"/>
    </row>
    <row r="374">
      <c r="B374" s="116"/>
      <c r="G374" s="167"/>
      <c r="H374" s="118"/>
      <c r="I374" s="119"/>
      <c r="J374" s="119"/>
      <c r="K374" s="35"/>
    </row>
    <row r="375">
      <c r="B375" s="116"/>
      <c r="G375" s="167"/>
      <c r="H375" s="118"/>
      <c r="I375" s="119"/>
      <c r="J375" s="119"/>
      <c r="K375" s="35"/>
    </row>
    <row r="376">
      <c r="B376" s="116"/>
      <c r="G376" s="167"/>
      <c r="H376" s="118"/>
      <c r="I376" s="119"/>
      <c r="J376" s="119"/>
      <c r="K376" s="35"/>
    </row>
    <row r="377">
      <c r="B377" s="116"/>
      <c r="G377" s="167"/>
      <c r="H377" s="118"/>
      <c r="I377" s="119"/>
      <c r="J377" s="119"/>
      <c r="K377" s="35"/>
    </row>
    <row r="378">
      <c r="B378" s="116"/>
      <c r="G378" s="167"/>
      <c r="H378" s="118"/>
      <c r="I378" s="119"/>
      <c r="J378" s="119"/>
      <c r="K378" s="35"/>
    </row>
    <row r="379">
      <c r="B379" s="116"/>
      <c r="G379" s="167"/>
      <c r="H379" s="118"/>
      <c r="I379" s="119"/>
      <c r="J379" s="119"/>
      <c r="K379" s="35"/>
    </row>
    <row r="380">
      <c r="B380" s="116"/>
      <c r="G380" s="167"/>
      <c r="H380" s="118"/>
      <c r="I380" s="119"/>
      <c r="J380" s="119"/>
      <c r="K380" s="35"/>
    </row>
    <row r="381">
      <c r="B381" s="116"/>
      <c r="G381" s="167"/>
      <c r="H381" s="118"/>
      <c r="I381" s="119"/>
      <c r="J381" s="119"/>
      <c r="K381" s="35"/>
    </row>
    <row r="382">
      <c r="B382" s="116"/>
      <c r="G382" s="167"/>
      <c r="H382" s="118"/>
      <c r="I382" s="119"/>
      <c r="J382" s="119"/>
      <c r="K382" s="35"/>
    </row>
    <row r="383">
      <c r="B383" s="116"/>
      <c r="G383" s="167"/>
      <c r="H383" s="118"/>
      <c r="I383" s="119"/>
      <c r="J383" s="119"/>
      <c r="K383" s="35"/>
    </row>
    <row r="384">
      <c r="B384" s="116"/>
      <c r="G384" s="167"/>
      <c r="H384" s="118"/>
      <c r="I384" s="119"/>
      <c r="J384" s="119"/>
      <c r="K384" s="35"/>
    </row>
    <row r="385">
      <c r="B385" s="116"/>
      <c r="G385" s="167"/>
      <c r="H385" s="118"/>
      <c r="I385" s="119"/>
      <c r="J385" s="119"/>
      <c r="K385" s="35"/>
    </row>
    <row r="386">
      <c r="B386" s="116"/>
      <c r="G386" s="167"/>
      <c r="H386" s="118"/>
      <c r="I386" s="119"/>
      <c r="J386" s="119"/>
      <c r="K386" s="35"/>
    </row>
    <row r="387">
      <c r="B387" s="116"/>
      <c r="G387" s="167"/>
      <c r="H387" s="118"/>
      <c r="I387" s="119"/>
      <c r="J387" s="119"/>
      <c r="K387" s="35"/>
    </row>
    <row r="388">
      <c r="B388" s="116"/>
      <c r="G388" s="167"/>
      <c r="H388" s="118"/>
      <c r="I388" s="119"/>
      <c r="J388" s="119"/>
      <c r="K388" s="35"/>
    </row>
    <row r="389">
      <c r="B389" s="116"/>
      <c r="G389" s="167"/>
      <c r="H389" s="118"/>
      <c r="I389" s="119"/>
      <c r="J389" s="119"/>
      <c r="K389" s="35"/>
    </row>
    <row r="390">
      <c r="B390" s="116"/>
      <c r="G390" s="167"/>
      <c r="H390" s="118"/>
      <c r="I390" s="119"/>
      <c r="J390" s="119"/>
      <c r="K390" s="35"/>
    </row>
    <row r="391">
      <c r="B391" s="116"/>
      <c r="G391" s="167"/>
      <c r="H391" s="118"/>
      <c r="I391" s="119"/>
      <c r="J391" s="119"/>
      <c r="K391" s="35"/>
    </row>
    <row r="392">
      <c r="B392" s="116"/>
      <c r="G392" s="167"/>
      <c r="H392" s="118"/>
      <c r="I392" s="119"/>
      <c r="J392" s="119"/>
      <c r="K392" s="35"/>
    </row>
    <row r="393">
      <c r="B393" s="116"/>
      <c r="G393" s="167"/>
      <c r="H393" s="118"/>
      <c r="I393" s="119"/>
      <c r="J393" s="119"/>
      <c r="K393" s="35"/>
    </row>
    <row r="394">
      <c r="B394" s="116"/>
      <c r="G394" s="167"/>
      <c r="H394" s="118"/>
      <c r="I394" s="119"/>
      <c r="J394" s="119"/>
      <c r="K394" s="35"/>
    </row>
    <row r="395">
      <c r="B395" s="116"/>
      <c r="G395" s="167"/>
      <c r="H395" s="118"/>
      <c r="I395" s="119"/>
      <c r="J395" s="119"/>
      <c r="K395" s="35"/>
    </row>
    <row r="396">
      <c r="B396" s="116"/>
      <c r="G396" s="167"/>
      <c r="H396" s="118"/>
      <c r="I396" s="119"/>
      <c r="J396" s="119"/>
      <c r="K396" s="35"/>
    </row>
    <row r="397">
      <c r="B397" s="116"/>
      <c r="G397" s="167"/>
      <c r="H397" s="118"/>
      <c r="I397" s="119"/>
      <c r="J397" s="119"/>
      <c r="K397" s="35"/>
    </row>
    <row r="398">
      <c r="B398" s="116"/>
      <c r="G398" s="167"/>
      <c r="H398" s="118"/>
      <c r="I398" s="119"/>
      <c r="J398" s="119"/>
      <c r="K398" s="35"/>
    </row>
    <row r="399">
      <c r="B399" s="116"/>
      <c r="G399" s="167"/>
      <c r="H399" s="118"/>
      <c r="I399" s="119"/>
      <c r="J399" s="119"/>
      <c r="K399" s="35"/>
    </row>
    <row r="400">
      <c r="B400" s="116"/>
      <c r="G400" s="167"/>
      <c r="H400" s="118"/>
      <c r="I400" s="119"/>
      <c r="J400" s="119"/>
      <c r="K400" s="35"/>
    </row>
    <row r="401">
      <c r="B401" s="116"/>
      <c r="G401" s="167"/>
      <c r="H401" s="118"/>
      <c r="I401" s="119"/>
      <c r="J401" s="119"/>
      <c r="K401" s="35"/>
    </row>
    <row r="402">
      <c r="B402" s="116"/>
      <c r="G402" s="167"/>
      <c r="H402" s="118"/>
      <c r="I402" s="119"/>
      <c r="J402" s="119"/>
      <c r="K402" s="35"/>
    </row>
    <row r="403">
      <c r="B403" s="116"/>
      <c r="G403" s="167"/>
      <c r="H403" s="118"/>
      <c r="I403" s="119"/>
      <c r="J403" s="119"/>
      <c r="K403" s="35"/>
    </row>
    <row r="404">
      <c r="B404" s="116"/>
      <c r="G404" s="167"/>
      <c r="H404" s="118"/>
      <c r="I404" s="119"/>
      <c r="J404" s="119"/>
      <c r="K404" s="35"/>
    </row>
    <row r="405">
      <c r="B405" s="116"/>
      <c r="G405" s="167"/>
      <c r="H405" s="118"/>
      <c r="I405" s="119"/>
      <c r="J405" s="119"/>
      <c r="K405" s="35"/>
    </row>
    <row r="406">
      <c r="B406" s="116"/>
      <c r="G406" s="167"/>
      <c r="H406" s="118"/>
      <c r="I406" s="119"/>
      <c r="J406" s="119"/>
      <c r="K406" s="35"/>
    </row>
    <row r="407">
      <c r="B407" s="116"/>
      <c r="G407" s="167"/>
      <c r="H407" s="118"/>
      <c r="I407" s="119"/>
      <c r="J407" s="119"/>
      <c r="K407" s="35"/>
    </row>
    <row r="408">
      <c r="B408" s="116"/>
      <c r="G408" s="167"/>
      <c r="H408" s="118"/>
      <c r="I408" s="119"/>
      <c r="J408" s="119"/>
      <c r="K408" s="35"/>
    </row>
    <row r="409">
      <c r="B409" s="116"/>
      <c r="G409" s="167"/>
      <c r="H409" s="118"/>
      <c r="I409" s="119"/>
      <c r="J409" s="119"/>
      <c r="K409" s="35"/>
    </row>
    <row r="410">
      <c r="B410" s="116"/>
      <c r="G410" s="167"/>
      <c r="H410" s="118"/>
      <c r="I410" s="119"/>
      <c r="J410" s="119"/>
      <c r="K410" s="35"/>
    </row>
    <row r="411">
      <c r="B411" s="116"/>
      <c r="G411" s="167"/>
      <c r="H411" s="118"/>
      <c r="I411" s="119"/>
      <c r="J411" s="119"/>
      <c r="K411" s="35"/>
    </row>
    <row r="412">
      <c r="B412" s="116"/>
      <c r="G412" s="167"/>
      <c r="H412" s="118"/>
      <c r="I412" s="119"/>
      <c r="J412" s="119"/>
      <c r="K412" s="35"/>
    </row>
    <row r="413">
      <c r="B413" s="116"/>
      <c r="G413" s="167"/>
      <c r="H413" s="118"/>
      <c r="I413" s="119"/>
      <c r="J413" s="119"/>
      <c r="K413" s="35"/>
    </row>
    <row r="414">
      <c r="B414" s="116"/>
      <c r="G414" s="167"/>
      <c r="H414" s="118"/>
      <c r="I414" s="119"/>
      <c r="J414" s="119"/>
      <c r="K414" s="35"/>
    </row>
    <row r="415">
      <c r="B415" s="116"/>
      <c r="G415" s="167"/>
      <c r="H415" s="118"/>
      <c r="I415" s="119"/>
      <c r="J415" s="119"/>
      <c r="K415" s="35"/>
    </row>
    <row r="416">
      <c r="B416" s="116"/>
      <c r="G416" s="167"/>
      <c r="H416" s="118"/>
      <c r="I416" s="119"/>
      <c r="J416" s="119"/>
      <c r="K416" s="35"/>
    </row>
    <row r="417">
      <c r="B417" s="116"/>
      <c r="G417" s="167"/>
      <c r="H417" s="118"/>
      <c r="I417" s="119"/>
      <c r="J417" s="119"/>
      <c r="K417" s="35"/>
    </row>
    <row r="418">
      <c r="B418" s="116"/>
      <c r="G418" s="167"/>
      <c r="H418" s="118"/>
      <c r="I418" s="119"/>
      <c r="J418" s="119"/>
      <c r="K418" s="35"/>
    </row>
    <row r="419">
      <c r="B419" s="116"/>
      <c r="G419" s="167"/>
      <c r="H419" s="118"/>
      <c r="I419" s="119"/>
      <c r="J419" s="119"/>
      <c r="K419" s="35"/>
    </row>
    <row r="420">
      <c r="B420" s="116"/>
      <c r="G420" s="167"/>
      <c r="H420" s="118"/>
      <c r="I420" s="119"/>
      <c r="J420" s="119"/>
      <c r="K420" s="35"/>
    </row>
    <row r="421">
      <c r="B421" s="116"/>
      <c r="G421" s="167"/>
      <c r="H421" s="118"/>
      <c r="I421" s="119"/>
      <c r="J421" s="119"/>
      <c r="K421" s="35"/>
    </row>
    <row r="422">
      <c r="B422" s="116"/>
      <c r="G422" s="167"/>
      <c r="H422" s="118"/>
      <c r="I422" s="119"/>
      <c r="J422" s="119"/>
      <c r="K422" s="35"/>
    </row>
    <row r="423">
      <c r="B423" s="116"/>
      <c r="G423" s="167"/>
      <c r="H423" s="118"/>
      <c r="I423" s="119"/>
      <c r="J423" s="119"/>
      <c r="K423" s="35"/>
    </row>
    <row r="424">
      <c r="B424" s="116"/>
      <c r="G424" s="167"/>
      <c r="H424" s="118"/>
      <c r="I424" s="119"/>
      <c r="J424" s="119"/>
      <c r="K424" s="35"/>
    </row>
    <row r="425">
      <c r="B425" s="116"/>
      <c r="G425" s="167"/>
      <c r="H425" s="118"/>
      <c r="I425" s="119"/>
      <c r="J425" s="119"/>
      <c r="K425" s="35"/>
    </row>
    <row r="426">
      <c r="B426" s="116"/>
      <c r="G426" s="167"/>
      <c r="H426" s="118"/>
      <c r="I426" s="119"/>
      <c r="J426" s="119"/>
      <c r="K426" s="35"/>
    </row>
    <row r="427">
      <c r="B427" s="116"/>
      <c r="G427" s="167"/>
      <c r="H427" s="118"/>
      <c r="I427" s="119"/>
      <c r="J427" s="119"/>
      <c r="K427" s="35"/>
    </row>
    <row r="428">
      <c r="B428" s="116"/>
      <c r="G428" s="167"/>
      <c r="H428" s="118"/>
      <c r="I428" s="119"/>
      <c r="J428" s="119"/>
      <c r="K428" s="35"/>
    </row>
    <row r="429">
      <c r="B429" s="116"/>
      <c r="G429" s="167"/>
      <c r="H429" s="118"/>
      <c r="I429" s="119"/>
      <c r="J429" s="119"/>
      <c r="K429" s="35"/>
    </row>
    <row r="430">
      <c r="B430" s="116"/>
      <c r="G430" s="167"/>
      <c r="H430" s="118"/>
      <c r="I430" s="119"/>
      <c r="J430" s="119"/>
      <c r="K430" s="35"/>
    </row>
    <row r="431">
      <c r="B431" s="116"/>
      <c r="G431" s="167"/>
      <c r="H431" s="118"/>
      <c r="I431" s="119"/>
      <c r="J431" s="119"/>
      <c r="K431" s="35"/>
    </row>
    <row r="432">
      <c r="B432" s="116"/>
      <c r="G432" s="167"/>
      <c r="H432" s="118"/>
      <c r="I432" s="119"/>
      <c r="J432" s="119"/>
      <c r="K432" s="35"/>
    </row>
    <row r="433">
      <c r="B433" s="116"/>
      <c r="G433" s="167"/>
      <c r="H433" s="118"/>
      <c r="I433" s="119"/>
      <c r="J433" s="119"/>
      <c r="K433" s="35"/>
    </row>
    <row r="434">
      <c r="B434" s="116"/>
      <c r="G434" s="167"/>
      <c r="H434" s="118"/>
      <c r="I434" s="119"/>
      <c r="J434" s="119"/>
      <c r="K434" s="35"/>
    </row>
    <row r="435">
      <c r="B435" s="116"/>
      <c r="G435" s="167"/>
      <c r="H435" s="118"/>
      <c r="I435" s="119"/>
      <c r="J435" s="119"/>
      <c r="K435" s="35"/>
    </row>
    <row r="436">
      <c r="B436" s="116"/>
      <c r="G436" s="167"/>
      <c r="H436" s="118"/>
      <c r="I436" s="119"/>
      <c r="J436" s="119"/>
      <c r="K436" s="35"/>
    </row>
    <row r="437">
      <c r="B437" s="116"/>
      <c r="G437" s="167"/>
      <c r="H437" s="118"/>
      <c r="I437" s="119"/>
      <c r="J437" s="119"/>
      <c r="K437" s="35"/>
    </row>
    <row r="438">
      <c r="B438" s="116"/>
      <c r="G438" s="167"/>
      <c r="H438" s="118"/>
      <c r="I438" s="119"/>
      <c r="J438" s="119"/>
      <c r="K438" s="35"/>
    </row>
    <row r="439">
      <c r="B439" s="116"/>
      <c r="G439" s="167"/>
      <c r="H439" s="118"/>
      <c r="I439" s="119"/>
      <c r="J439" s="119"/>
      <c r="K439" s="35"/>
    </row>
    <row r="440">
      <c r="B440" s="116"/>
      <c r="G440" s="167"/>
      <c r="H440" s="118"/>
      <c r="I440" s="119"/>
      <c r="J440" s="119"/>
      <c r="K440" s="35"/>
    </row>
    <row r="441">
      <c r="B441" s="116"/>
      <c r="G441" s="167"/>
      <c r="H441" s="118"/>
      <c r="I441" s="119"/>
      <c r="J441" s="119"/>
      <c r="K441" s="35"/>
    </row>
    <row r="442">
      <c r="B442" s="116"/>
      <c r="G442" s="167"/>
      <c r="H442" s="118"/>
      <c r="I442" s="119"/>
      <c r="J442" s="119"/>
      <c r="K442" s="35"/>
    </row>
    <row r="443">
      <c r="B443" s="116"/>
      <c r="G443" s="167"/>
      <c r="H443" s="118"/>
      <c r="I443" s="119"/>
      <c r="J443" s="119"/>
      <c r="K443" s="35"/>
    </row>
    <row r="444">
      <c r="B444" s="116"/>
      <c r="G444" s="167"/>
      <c r="H444" s="118"/>
      <c r="I444" s="119"/>
      <c r="J444" s="119"/>
      <c r="K444" s="35"/>
    </row>
    <row r="445">
      <c r="B445" s="116"/>
      <c r="G445" s="167"/>
      <c r="H445" s="118"/>
      <c r="I445" s="119"/>
      <c r="J445" s="119"/>
      <c r="K445" s="35"/>
    </row>
    <row r="446">
      <c r="B446" s="116"/>
      <c r="G446" s="167"/>
      <c r="H446" s="118"/>
      <c r="I446" s="119"/>
      <c r="J446" s="119"/>
      <c r="K446" s="35"/>
    </row>
    <row r="447">
      <c r="B447" s="116"/>
      <c r="G447" s="167"/>
      <c r="H447" s="118"/>
      <c r="I447" s="119"/>
      <c r="J447" s="119"/>
      <c r="K447" s="35"/>
    </row>
    <row r="448">
      <c r="B448" s="116"/>
      <c r="G448" s="167"/>
      <c r="H448" s="118"/>
      <c r="I448" s="119"/>
      <c r="J448" s="119"/>
      <c r="K448" s="35"/>
    </row>
    <row r="449">
      <c r="B449" s="116"/>
      <c r="G449" s="167"/>
      <c r="H449" s="118"/>
      <c r="I449" s="119"/>
      <c r="J449" s="119"/>
      <c r="K449" s="35"/>
    </row>
    <row r="450">
      <c r="B450" s="116"/>
      <c r="G450" s="167"/>
      <c r="H450" s="118"/>
      <c r="I450" s="119"/>
      <c r="J450" s="119"/>
      <c r="K450" s="35"/>
    </row>
    <row r="451">
      <c r="B451" s="116"/>
      <c r="G451" s="167"/>
      <c r="H451" s="118"/>
      <c r="I451" s="119"/>
      <c r="J451" s="119"/>
      <c r="K451" s="35"/>
    </row>
    <row r="452">
      <c r="B452" s="116"/>
      <c r="G452" s="167"/>
      <c r="H452" s="118"/>
      <c r="I452" s="119"/>
      <c r="J452" s="119"/>
      <c r="K452" s="35"/>
    </row>
    <row r="453">
      <c r="B453" s="116"/>
      <c r="G453" s="167"/>
      <c r="H453" s="118"/>
      <c r="I453" s="119"/>
      <c r="J453" s="119"/>
      <c r="K453" s="35"/>
    </row>
    <row r="454">
      <c r="B454" s="116"/>
      <c r="G454" s="167"/>
      <c r="H454" s="118"/>
      <c r="I454" s="119"/>
      <c r="J454" s="119"/>
      <c r="K454" s="35"/>
    </row>
    <row r="455">
      <c r="B455" s="116"/>
      <c r="G455" s="167"/>
      <c r="H455" s="118"/>
      <c r="I455" s="119"/>
      <c r="J455" s="119"/>
      <c r="K455" s="35"/>
    </row>
    <row r="456">
      <c r="B456" s="116"/>
      <c r="G456" s="167"/>
      <c r="H456" s="118"/>
      <c r="I456" s="119"/>
      <c r="J456" s="119"/>
      <c r="K456" s="35"/>
    </row>
    <row r="457">
      <c r="B457" s="116"/>
      <c r="G457" s="167"/>
      <c r="H457" s="118"/>
      <c r="I457" s="119"/>
      <c r="J457" s="119"/>
      <c r="K457" s="35"/>
    </row>
    <row r="458">
      <c r="B458" s="116"/>
      <c r="G458" s="167"/>
      <c r="H458" s="118"/>
      <c r="I458" s="119"/>
      <c r="J458" s="119"/>
      <c r="K458" s="35"/>
    </row>
    <row r="459">
      <c r="B459" s="116"/>
      <c r="G459" s="167"/>
      <c r="H459" s="118"/>
      <c r="I459" s="119"/>
      <c r="J459" s="119"/>
      <c r="K459" s="35"/>
    </row>
    <row r="460">
      <c r="B460" s="116"/>
      <c r="G460" s="167"/>
      <c r="H460" s="118"/>
      <c r="I460" s="119"/>
      <c r="J460" s="119"/>
      <c r="K460" s="35"/>
    </row>
    <row r="461">
      <c r="B461" s="116"/>
      <c r="G461" s="167"/>
      <c r="H461" s="118"/>
      <c r="I461" s="119"/>
      <c r="J461" s="119"/>
      <c r="K461" s="35"/>
    </row>
    <row r="462">
      <c r="B462" s="116"/>
      <c r="G462" s="167"/>
      <c r="H462" s="118"/>
      <c r="I462" s="119"/>
      <c r="J462" s="119"/>
      <c r="K462" s="35"/>
    </row>
    <row r="463">
      <c r="B463" s="116"/>
      <c r="G463" s="167"/>
      <c r="H463" s="118"/>
      <c r="I463" s="119"/>
      <c r="J463" s="119"/>
      <c r="K463" s="35"/>
    </row>
    <row r="464">
      <c r="B464" s="116"/>
      <c r="G464" s="167"/>
      <c r="H464" s="118"/>
      <c r="I464" s="119"/>
      <c r="J464" s="119"/>
      <c r="K464" s="35"/>
    </row>
    <row r="465">
      <c r="B465" s="116"/>
      <c r="G465" s="167"/>
      <c r="H465" s="118"/>
      <c r="I465" s="119"/>
      <c r="J465" s="119"/>
      <c r="K465" s="35"/>
    </row>
    <row r="466">
      <c r="B466" s="116"/>
      <c r="G466" s="167"/>
      <c r="H466" s="118"/>
      <c r="I466" s="119"/>
      <c r="J466" s="119"/>
      <c r="K466" s="35"/>
    </row>
    <row r="467">
      <c r="B467" s="116"/>
      <c r="G467" s="167"/>
      <c r="H467" s="118"/>
      <c r="I467" s="119"/>
      <c r="J467" s="119"/>
      <c r="K467" s="35"/>
    </row>
    <row r="468">
      <c r="B468" s="116"/>
      <c r="G468" s="167"/>
      <c r="H468" s="118"/>
      <c r="I468" s="119"/>
      <c r="J468" s="119"/>
      <c r="K468" s="35"/>
    </row>
    <row r="469">
      <c r="B469" s="116"/>
      <c r="G469" s="167"/>
      <c r="H469" s="118"/>
      <c r="I469" s="119"/>
      <c r="J469" s="119"/>
      <c r="K469" s="35"/>
    </row>
    <row r="470">
      <c r="B470" s="116"/>
      <c r="G470" s="167"/>
      <c r="H470" s="118"/>
      <c r="I470" s="119"/>
      <c r="J470" s="119"/>
      <c r="K470" s="35"/>
    </row>
    <row r="471">
      <c r="B471" s="116"/>
      <c r="G471" s="167"/>
      <c r="H471" s="118"/>
      <c r="I471" s="119"/>
      <c r="J471" s="119"/>
      <c r="K471" s="35"/>
    </row>
    <row r="472">
      <c r="B472" s="116"/>
      <c r="G472" s="167"/>
      <c r="H472" s="118"/>
      <c r="I472" s="119"/>
      <c r="J472" s="119"/>
      <c r="K472" s="35"/>
    </row>
    <row r="473">
      <c r="B473" s="116"/>
      <c r="G473" s="167"/>
      <c r="H473" s="118"/>
      <c r="I473" s="119"/>
      <c r="J473" s="119"/>
      <c r="K473" s="35"/>
    </row>
    <row r="474">
      <c r="B474" s="116"/>
      <c r="G474" s="167"/>
      <c r="H474" s="118"/>
      <c r="I474" s="119"/>
      <c r="J474" s="119"/>
      <c r="K474" s="35"/>
    </row>
    <row r="475">
      <c r="B475" s="116"/>
      <c r="G475" s="167"/>
      <c r="H475" s="118"/>
      <c r="I475" s="119"/>
      <c r="J475" s="119"/>
      <c r="K475" s="35"/>
    </row>
    <row r="476">
      <c r="B476" s="116"/>
      <c r="G476" s="167"/>
      <c r="H476" s="118"/>
      <c r="I476" s="119"/>
      <c r="J476" s="119"/>
      <c r="K476" s="35"/>
    </row>
    <row r="477">
      <c r="B477" s="116"/>
      <c r="G477" s="167"/>
      <c r="H477" s="118"/>
      <c r="I477" s="119"/>
      <c r="J477" s="119"/>
      <c r="K477" s="35"/>
    </row>
    <row r="478">
      <c r="B478" s="116"/>
      <c r="G478" s="167"/>
      <c r="H478" s="118"/>
      <c r="I478" s="119"/>
      <c r="J478" s="119"/>
      <c r="K478" s="35"/>
    </row>
    <row r="479">
      <c r="B479" s="116"/>
      <c r="G479" s="167"/>
      <c r="H479" s="118"/>
      <c r="I479" s="119"/>
      <c r="J479" s="119"/>
      <c r="K479" s="35"/>
    </row>
    <row r="480">
      <c r="B480" s="116"/>
      <c r="G480" s="167"/>
      <c r="H480" s="118"/>
      <c r="I480" s="119"/>
      <c r="J480" s="119"/>
      <c r="K480" s="35"/>
    </row>
    <row r="481">
      <c r="B481" s="116"/>
      <c r="G481" s="167"/>
      <c r="H481" s="118"/>
      <c r="I481" s="119"/>
      <c r="J481" s="119"/>
      <c r="K481" s="35"/>
    </row>
    <row r="482">
      <c r="B482" s="116"/>
      <c r="G482" s="167"/>
      <c r="H482" s="118"/>
      <c r="I482" s="119"/>
      <c r="J482" s="119"/>
      <c r="K482" s="35"/>
    </row>
    <row r="483">
      <c r="B483" s="116"/>
      <c r="G483" s="167"/>
      <c r="H483" s="118"/>
      <c r="I483" s="119"/>
      <c r="J483" s="119"/>
      <c r="K483" s="35"/>
    </row>
    <row r="484">
      <c r="B484" s="116"/>
      <c r="G484" s="167"/>
      <c r="H484" s="118"/>
      <c r="I484" s="119"/>
      <c r="J484" s="119"/>
      <c r="K484" s="35"/>
    </row>
    <row r="485">
      <c r="B485" s="116"/>
      <c r="G485" s="167"/>
      <c r="H485" s="118"/>
      <c r="I485" s="119"/>
      <c r="J485" s="119"/>
      <c r="K485" s="35"/>
    </row>
    <row r="486">
      <c r="B486" s="116"/>
      <c r="G486" s="167"/>
      <c r="H486" s="118"/>
      <c r="I486" s="119"/>
      <c r="J486" s="119"/>
      <c r="K486" s="35"/>
    </row>
    <row r="487">
      <c r="B487" s="116"/>
      <c r="G487" s="167"/>
      <c r="H487" s="118"/>
      <c r="I487" s="119"/>
      <c r="J487" s="119"/>
      <c r="K487" s="35"/>
    </row>
    <row r="488">
      <c r="B488" s="116"/>
      <c r="G488" s="167"/>
      <c r="H488" s="118"/>
      <c r="I488" s="119"/>
      <c r="J488" s="119"/>
      <c r="K488" s="35"/>
    </row>
    <row r="489">
      <c r="B489" s="116"/>
      <c r="G489" s="167"/>
      <c r="H489" s="118"/>
      <c r="I489" s="119"/>
      <c r="J489" s="119"/>
      <c r="K489" s="35"/>
    </row>
    <row r="490">
      <c r="B490" s="116"/>
      <c r="G490" s="167"/>
      <c r="H490" s="118"/>
      <c r="I490" s="119"/>
      <c r="J490" s="119"/>
      <c r="K490" s="35"/>
    </row>
    <row r="491">
      <c r="B491" s="116"/>
      <c r="G491" s="167"/>
      <c r="H491" s="118"/>
      <c r="I491" s="119"/>
      <c r="J491" s="119"/>
      <c r="K491" s="35"/>
    </row>
    <row r="492">
      <c r="B492" s="116"/>
      <c r="G492" s="167"/>
      <c r="H492" s="118"/>
      <c r="I492" s="119"/>
      <c r="J492" s="119"/>
      <c r="K492" s="35"/>
    </row>
    <row r="493">
      <c r="B493" s="116"/>
      <c r="G493" s="167"/>
      <c r="H493" s="118"/>
      <c r="I493" s="119"/>
      <c r="J493" s="119"/>
      <c r="K493" s="35"/>
    </row>
    <row r="494">
      <c r="B494" s="116"/>
      <c r="G494" s="167"/>
      <c r="H494" s="118"/>
      <c r="I494" s="119"/>
      <c r="J494" s="119"/>
      <c r="K494" s="35"/>
    </row>
    <row r="495">
      <c r="B495" s="116"/>
      <c r="G495" s="167"/>
      <c r="H495" s="118"/>
      <c r="I495" s="119"/>
      <c r="J495" s="119"/>
      <c r="K495" s="35"/>
    </row>
    <row r="496">
      <c r="B496" s="116"/>
      <c r="G496" s="167"/>
      <c r="H496" s="118"/>
      <c r="I496" s="119"/>
      <c r="J496" s="119"/>
      <c r="K496" s="35"/>
    </row>
    <row r="497">
      <c r="B497" s="116"/>
      <c r="G497" s="167"/>
      <c r="H497" s="118"/>
      <c r="I497" s="119"/>
      <c r="J497" s="119"/>
      <c r="K497" s="35"/>
    </row>
    <row r="498">
      <c r="B498" s="116"/>
      <c r="G498" s="167"/>
      <c r="H498" s="118"/>
      <c r="I498" s="119"/>
      <c r="J498" s="119"/>
      <c r="K498" s="35"/>
    </row>
    <row r="499">
      <c r="B499" s="116"/>
      <c r="G499" s="167"/>
      <c r="H499" s="118"/>
      <c r="I499" s="119"/>
      <c r="J499" s="119"/>
      <c r="K499" s="35"/>
    </row>
    <row r="500">
      <c r="B500" s="116"/>
      <c r="G500" s="167"/>
      <c r="H500" s="118"/>
      <c r="I500" s="119"/>
      <c r="J500" s="119"/>
      <c r="K500" s="35"/>
    </row>
    <row r="501">
      <c r="B501" s="116"/>
      <c r="G501" s="167"/>
      <c r="H501" s="118"/>
      <c r="I501" s="119"/>
      <c r="J501" s="119"/>
      <c r="K501" s="35"/>
    </row>
    <row r="502">
      <c r="B502" s="116"/>
      <c r="G502" s="167"/>
      <c r="H502" s="118"/>
      <c r="I502" s="119"/>
      <c r="J502" s="119"/>
      <c r="K502" s="35"/>
    </row>
    <row r="503">
      <c r="B503" s="116"/>
      <c r="G503" s="167"/>
      <c r="H503" s="118"/>
      <c r="I503" s="119"/>
      <c r="J503" s="119"/>
      <c r="K503" s="35"/>
    </row>
    <row r="504">
      <c r="B504" s="116"/>
      <c r="G504" s="167"/>
      <c r="H504" s="118"/>
      <c r="I504" s="119"/>
      <c r="J504" s="119"/>
      <c r="K504" s="35"/>
    </row>
    <row r="505">
      <c r="B505" s="116"/>
      <c r="G505" s="167"/>
      <c r="H505" s="118"/>
      <c r="I505" s="119"/>
      <c r="J505" s="119"/>
      <c r="K505" s="35"/>
    </row>
    <row r="506">
      <c r="B506" s="116"/>
      <c r="G506" s="167"/>
      <c r="H506" s="118"/>
      <c r="I506" s="119"/>
      <c r="J506" s="119"/>
      <c r="K506" s="35"/>
    </row>
    <row r="507">
      <c r="B507" s="116"/>
      <c r="G507" s="167"/>
      <c r="H507" s="118"/>
      <c r="I507" s="119"/>
      <c r="J507" s="119"/>
      <c r="K507" s="35"/>
    </row>
    <row r="508">
      <c r="B508" s="116"/>
      <c r="G508" s="167"/>
      <c r="H508" s="118"/>
      <c r="I508" s="119"/>
      <c r="J508" s="119"/>
      <c r="K508" s="35"/>
    </row>
    <row r="509">
      <c r="B509" s="116"/>
      <c r="G509" s="167"/>
      <c r="H509" s="118"/>
      <c r="I509" s="119"/>
      <c r="J509" s="119"/>
      <c r="K509" s="35"/>
    </row>
    <row r="510">
      <c r="B510" s="116"/>
      <c r="G510" s="167"/>
      <c r="H510" s="118"/>
      <c r="I510" s="119"/>
      <c r="J510" s="119"/>
      <c r="K510" s="35"/>
    </row>
    <row r="511">
      <c r="B511" s="116"/>
      <c r="G511" s="167"/>
      <c r="H511" s="118"/>
      <c r="I511" s="119"/>
      <c r="J511" s="119"/>
      <c r="K511" s="35"/>
    </row>
    <row r="512">
      <c r="B512" s="116"/>
      <c r="G512" s="167"/>
      <c r="H512" s="118"/>
      <c r="I512" s="119"/>
      <c r="J512" s="119"/>
      <c r="K512" s="35"/>
    </row>
    <row r="513">
      <c r="B513" s="116"/>
      <c r="G513" s="167"/>
      <c r="H513" s="118"/>
      <c r="I513" s="119"/>
      <c r="J513" s="119"/>
      <c r="K513" s="35"/>
    </row>
    <row r="514">
      <c r="B514" s="116"/>
      <c r="G514" s="167"/>
      <c r="H514" s="118"/>
      <c r="I514" s="119"/>
      <c r="J514" s="119"/>
      <c r="K514" s="35"/>
    </row>
    <row r="515">
      <c r="B515" s="116"/>
      <c r="G515" s="167"/>
      <c r="H515" s="118"/>
      <c r="I515" s="119"/>
      <c r="J515" s="119"/>
      <c r="K515" s="35"/>
    </row>
    <row r="516">
      <c r="B516" s="116"/>
      <c r="G516" s="167"/>
      <c r="H516" s="118"/>
      <c r="I516" s="119"/>
      <c r="J516" s="119"/>
      <c r="K516" s="35"/>
    </row>
    <row r="517">
      <c r="B517" s="116"/>
      <c r="G517" s="167"/>
      <c r="H517" s="118"/>
      <c r="I517" s="119"/>
      <c r="J517" s="119"/>
      <c r="K517" s="35"/>
    </row>
    <row r="518">
      <c r="B518" s="116"/>
      <c r="G518" s="167"/>
      <c r="H518" s="118"/>
      <c r="I518" s="119"/>
      <c r="J518" s="119"/>
      <c r="K518" s="35"/>
    </row>
    <row r="519">
      <c r="B519" s="116"/>
      <c r="G519" s="167"/>
      <c r="H519" s="118"/>
      <c r="I519" s="119"/>
      <c r="J519" s="119"/>
      <c r="K519" s="35"/>
    </row>
    <row r="520">
      <c r="B520" s="116"/>
      <c r="G520" s="167"/>
      <c r="H520" s="118"/>
      <c r="I520" s="119"/>
      <c r="J520" s="119"/>
      <c r="K520" s="35"/>
    </row>
    <row r="521">
      <c r="B521" s="116"/>
      <c r="G521" s="167"/>
      <c r="H521" s="118"/>
      <c r="I521" s="119"/>
      <c r="J521" s="119"/>
      <c r="K521" s="35"/>
    </row>
    <row r="522">
      <c r="B522" s="116"/>
      <c r="G522" s="167"/>
      <c r="H522" s="118"/>
      <c r="I522" s="119"/>
      <c r="J522" s="119"/>
      <c r="K522" s="35"/>
    </row>
    <row r="523">
      <c r="B523" s="116"/>
      <c r="G523" s="167"/>
      <c r="H523" s="118"/>
      <c r="I523" s="119"/>
      <c r="J523" s="119"/>
      <c r="K523" s="35"/>
    </row>
    <row r="524">
      <c r="B524" s="116"/>
      <c r="G524" s="167"/>
      <c r="H524" s="118"/>
      <c r="I524" s="119"/>
      <c r="J524" s="119"/>
      <c r="K524" s="35"/>
    </row>
    <row r="525">
      <c r="B525" s="116"/>
      <c r="G525" s="167"/>
      <c r="H525" s="118"/>
      <c r="I525" s="119"/>
      <c r="J525" s="119"/>
      <c r="K525" s="35"/>
    </row>
    <row r="526">
      <c r="B526" s="116"/>
      <c r="G526" s="167"/>
      <c r="H526" s="118"/>
      <c r="I526" s="119"/>
      <c r="J526" s="119"/>
      <c r="K526" s="35"/>
    </row>
    <row r="527">
      <c r="B527" s="116"/>
      <c r="G527" s="167"/>
      <c r="H527" s="118"/>
      <c r="I527" s="119"/>
      <c r="J527" s="119"/>
      <c r="K527" s="35"/>
    </row>
    <row r="528">
      <c r="B528" s="116"/>
      <c r="G528" s="167"/>
      <c r="H528" s="118"/>
      <c r="I528" s="119"/>
      <c r="J528" s="119"/>
      <c r="K528" s="35"/>
    </row>
    <row r="529">
      <c r="B529" s="116"/>
      <c r="G529" s="167"/>
      <c r="H529" s="118"/>
      <c r="I529" s="119"/>
      <c r="J529" s="119"/>
      <c r="K529" s="35"/>
    </row>
    <row r="530">
      <c r="B530" s="116"/>
      <c r="G530" s="167"/>
      <c r="H530" s="118"/>
      <c r="I530" s="119"/>
      <c r="J530" s="119"/>
      <c r="K530" s="35"/>
    </row>
    <row r="531">
      <c r="B531" s="116"/>
      <c r="G531" s="167"/>
      <c r="H531" s="118"/>
      <c r="I531" s="119"/>
      <c r="J531" s="119"/>
      <c r="K531" s="35"/>
    </row>
    <row r="532">
      <c r="B532" s="116"/>
      <c r="G532" s="167"/>
      <c r="H532" s="118"/>
      <c r="I532" s="119"/>
      <c r="J532" s="119"/>
      <c r="K532" s="35"/>
    </row>
    <row r="533">
      <c r="B533" s="116"/>
      <c r="G533" s="167"/>
      <c r="H533" s="118"/>
      <c r="I533" s="119"/>
      <c r="J533" s="119"/>
      <c r="K533" s="35"/>
    </row>
    <row r="534">
      <c r="B534" s="116"/>
      <c r="G534" s="167"/>
      <c r="H534" s="118"/>
      <c r="I534" s="119"/>
      <c r="J534" s="119"/>
      <c r="K534" s="35"/>
    </row>
    <row r="535">
      <c r="B535" s="116"/>
      <c r="G535" s="167"/>
      <c r="H535" s="118"/>
      <c r="I535" s="119"/>
      <c r="J535" s="119"/>
      <c r="K535" s="35"/>
    </row>
    <row r="536">
      <c r="B536" s="116"/>
      <c r="G536" s="167"/>
      <c r="H536" s="118"/>
      <c r="I536" s="119"/>
      <c r="J536" s="119"/>
      <c r="K536" s="35"/>
    </row>
    <row r="537">
      <c r="B537" s="116"/>
      <c r="G537" s="167"/>
      <c r="H537" s="118"/>
      <c r="I537" s="119"/>
      <c r="J537" s="119"/>
      <c r="K537" s="35"/>
    </row>
    <row r="538">
      <c r="B538" s="116"/>
      <c r="G538" s="167"/>
      <c r="H538" s="118"/>
      <c r="I538" s="119"/>
      <c r="J538" s="119"/>
      <c r="K538" s="35"/>
    </row>
    <row r="539">
      <c r="B539" s="116"/>
      <c r="G539" s="167"/>
      <c r="H539" s="118"/>
      <c r="I539" s="119"/>
      <c r="J539" s="119"/>
      <c r="K539" s="35"/>
    </row>
    <row r="540">
      <c r="B540" s="116"/>
      <c r="G540" s="167"/>
      <c r="H540" s="118"/>
      <c r="I540" s="119"/>
      <c r="J540" s="119"/>
      <c r="K540" s="35"/>
    </row>
    <row r="541">
      <c r="B541" s="116"/>
      <c r="G541" s="167"/>
      <c r="H541" s="118"/>
      <c r="I541" s="119"/>
      <c r="J541" s="119"/>
      <c r="K541" s="35"/>
    </row>
    <row r="542">
      <c r="B542" s="116"/>
      <c r="G542" s="167"/>
      <c r="H542" s="118"/>
      <c r="I542" s="119"/>
      <c r="J542" s="119"/>
      <c r="K542" s="35"/>
    </row>
    <row r="543">
      <c r="B543" s="116"/>
      <c r="G543" s="167"/>
      <c r="H543" s="118"/>
      <c r="I543" s="119"/>
      <c r="J543" s="119"/>
      <c r="K543" s="35"/>
    </row>
    <row r="544">
      <c r="B544" s="116"/>
      <c r="G544" s="167"/>
      <c r="H544" s="118"/>
      <c r="I544" s="119"/>
      <c r="J544" s="119"/>
      <c r="K544" s="35"/>
    </row>
    <row r="545">
      <c r="B545" s="116"/>
      <c r="G545" s="167"/>
      <c r="H545" s="118"/>
      <c r="I545" s="119"/>
      <c r="J545" s="119"/>
      <c r="K545" s="35"/>
    </row>
    <row r="546">
      <c r="B546" s="116"/>
      <c r="G546" s="167"/>
      <c r="H546" s="118"/>
      <c r="I546" s="119"/>
      <c r="J546" s="119"/>
      <c r="K546" s="35"/>
    </row>
    <row r="547">
      <c r="B547" s="116"/>
      <c r="G547" s="167"/>
      <c r="H547" s="118"/>
      <c r="I547" s="119"/>
      <c r="J547" s="119"/>
      <c r="K547" s="35"/>
    </row>
    <row r="548">
      <c r="B548" s="116"/>
      <c r="G548" s="167"/>
      <c r="H548" s="118"/>
      <c r="I548" s="119"/>
      <c r="J548" s="119"/>
      <c r="K548" s="35"/>
    </row>
    <row r="549">
      <c r="B549" s="116"/>
      <c r="G549" s="167"/>
      <c r="H549" s="118"/>
      <c r="I549" s="119"/>
      <c r="J549" s="119"/>
      <c r="K549" s="35"/>
    </row>
    <row r="550">
      <c r="B550" s="116"/>
      <c r="G550" s="167"/>
      <c r="H550" s="118"/>
      <c r="I550" s="119"/>
      <c r="J550" s="119"/>
      <c r="K550" s="35"/>
    </row>
    <row r="551">
      <c r="B551" s="116"/>
      <c r="G551" s="167"/>
      <c r="H551" s="118"/>
      <c r="I551" s="119"/>
      <c r="J551" s="119"/>
      <c r="K551" s="35"/>
    </row>
    <row r="552">
      <c r="B552" s="116"/>
      <c r="G552" s="167"/>
      <c r="H552" s="118"/>
      <c r="I552" s="119"/>
      <c r="J552" s="119"/>
      <c r="K552" s="35"/>
    </row>
    <row r="553">
      <c r="B553" s="116"/>
      <c r="G553" s="167"/>
      <c r="H553" s="118"/>
      <c r="I553" s="119"/>
      <c r="J553" s="119"/>
      <c r="K553" s="35"/>
    </row>
    <row r="554">
      <c r="B554" s="116"/>
      <c r="G554" s="167"/>
      <c r="H554" s="118"/>
      <c r="I554" s="119"/>
      <c r="J554" s="119"/>
      <c r="K554" s="35"/>
    </row>
    <row r="555">
      <c r="B555" s="116"/>
      <c r="G555" s="167"/>
      <c r="H555" s="118"/>
      <c r="I555" s="119"/>
      <c r="J555" s="119"/>
      <c r="K555" s="35"/>
    </row>
    <row r="556">
      <c r="B556" s="116"/>
      <c r="G556" s="167"/>
      <c r="H556" s="118"/>
      <c r="I556" s="119"/>
      <c r="J556" s="119"/>
      <c r="K556" s="35"/>
    </row>
    <row r="557">
      <c r="B557" s="116"/>
      <c r="G557" s="167"/>
      <c r="H557" s="118"/>
      <c r="I557" s="119"/>
      <c r="J557" s="119"/>
      <c r="K557" s="35"/>
    </row>
    <row r="558">
      <c r="B558" s="116"/>
      <c r="G558" s="167"/>
      <c r="H558" s="118"/>
      <c r="I558" s="119"/>
      <c r="J558" s="119"/>
      <c r="K558" s="35"/>
    </row>
    <row r="559">
      <c r="B559" s="116"/>
      <c r="G559" s="167"/>
      <c r="H559" s="118"/>
      <c r="I559" s="119"/>
      <c r="J559" s="119"/>
      <c r="K559" s="35"/>
    </row>
    <row r="560">
      <c r="B560" s="116"/>
      <c r="G560" s="167"/>
      <c r="H560" s="118"/>
      <c r="I560" s="119"/>
      <c r="J560" s="119"/>
      <c r="K560" s="35"/>
    </row>
    <row r="561">
      <c r="B561" s="116"/>
      <c r="G561" s="167"/>
      <c r="H561" s="118"/>
      <c r="I561" s="119"/>
      <c r="J561" s="119"/>
      <c r="K561" s="35"/>
    </row>
    <row r="562">
      <c r="B562" s="116"/>
      <c r="G562" s="167"/>
      <c r="H562" s="118"/>
      <c r="I562" s="119"/>
      <c r="J562" s="119"/>
      <c r="K562" s="35"/>
    </row>
    <row r="563">
      <c r="B563" s="116"/>
      <c r="G563" s="167"/>
      <c r="H563" s="118"/>
      <c r="I563" s="119"/>
      <c r="J563" s="119"/>
      <c r="K563" s="35"/>
    </row>
    <row r="564">
      <c r="B564" s="116"/>
      <c r="G564" s="167"/>
      <c r="H564" s="118"/>
      <c r="I564" s="119"/>
      <c r="J564" s="119"/>
      <c r="K564" s="35"/>
    </row>
    <row r="565">
      <c r="B565" s="116"/>
      <c r="G565" s="167"/>
      <c r="H565" s="118"/>
      <c r="I565" s="119"/>
      <c r="J565" s="119"/>
      <c r="K565" s="35"/>
    </row>
    <row r="566">
      <c r="B566" s="116"/>
      <c r="G566" s="167"/>
      <c r="H566" s="118"/>
      <c r="I566" s="119"/>
      <c r="J566" s="119"/>
      <c r="K566" s="35"/>
    </row>
    <row r="567">
      <c r="B567" s="116"/>
      <c r="G567" s="167"/>
      <c r="H567" s="118"/>
      <c r="I567" s="119"/>
      <c r="J567" s="119"/>
      <c r="K567" s="35"/>
    </row>
    <row r="568">
      <c r="B568" s="116"/>
      <c r="G568" s="167"/>
      <c r="H568" s="118"/>
      <c r="I568" s="119"/>
      <c r="J568" s="119"/>
      <c r="K568" s="35"/>
    </row>
    <row r="569">
      <c r="B569" s="116"/>
      <c r="G569" s="167"/>
      <c r="H569" s="118"/>
      <c r="I569" s="119"/>
      <c r="J569" s="119"/>
      <c r="K569" s="35"/>
    </row>
    <row r="570">
      <c r="B570" s="116"/>
      <c r="G570" s="167"/>
      <c r="H570" s="118"/>
      <c r="I570" s="119"/>
      <c r="J570" s="119"/>
      <c r="K570" s="35"/>
    </row>
    <row r="571">
      <c r="B571" s="116"/>
      <c r="G571" s="167"/>
      <c r="H571" s="118"/>
      <c r="I571" s="119"/>
      <c r="J571" s="119"/>
      <c r="K571" s="35"/>
    </row>
    <row r="572">
      <c r="B572" s="116"/>
      <c r="G572" s="167"/>
      <c r="H572" s="118"/>
      <c r="I572" s="119"/>
      <c r="J572" s="119"/>
      <c r="K572" s="35"/>
    </row>
    <row r="573">
      <c r="B573" s="116"/>
      <c r="G573" s="167"/>
      <c r="H573" s="118"/>
      <c r="I573" s="119"/>
      <c r="J573" s="119"/>
      <c r="K573" s="35"/>
    </row>
    <row r="574">
      <c r="B574" s="116"/>
      <c r="G574" s="167"/>
      <c r="H574" s="118"/>
      <c r="I574" s="119"/>
      <c r="J574" s="119"/>
      <c r="K574" s="35"/>
    </row>
    <row r="575">
      <c r="B575" s="116"/>
      <c r="G575" s="167"/>
      <c r="H575" s="118"/>
      <c r="I575" s="119"/>
      <c r="J575" s="119"/>
      <c r="K575" s="35"/>
    </row>
    <row r="576">
      <c r="B576" s="116"/>
      <c r="G576" s="167"/>
      <c r="H576" s="118"/>
      <c r="I576" s="119"/>
      <c r="J576" s="119"/>
      <c r="K576" s="35"/>
    </row>
    <row r="577">
      <c r="B577" s="116"/>
      <c r="G577" s="167"/>
      <c r="H577" s="118"/>
      <c r="I577" s="119"/>
      <c r="J577" s="119"/>
      <c r="K577" s="35"/>
    </row>
    <row r="578">
      <c r="B578" s="116"/>
      <c r="G578" s="167"/>
      <c r="H578" s="118"/>
      <c r="I578" s="119"/>
      <c r="J578" s="119"/>
      <c r="K578" s="35"/>
    </row>
    <row r="579">
      <c r="B579" s="116"/>
      <c r="G579" s="167"/>
      <c r="H579" s="118"/>
      <c r="I579" s="119"/>
      <c r="J579" s="119"/>
      <c r="K579" s="35"/>
    </row>
    <row r="580">
      <c r="B580" s="116"/>
      <c r="G580" s="167"/>
      <c r="H580" s="118"/>
      <c r="I580" s="119"/>
      <c r="J580" s="119"/>
      <c r="K580" s="35"/>
    </row>
    <row r="581">
      <c r="B581" s="116"/>
      <c r="G581" s="167"/>
      <c r="H581" s="118"/>
      <c r="I581" s="119"/>
      <c r="J581" s="119"/>
      <c r="K581" s="35"/>
    </row>
    <row r="582">
      <c r="B582" s="116"/>
      <c r="G582" s="167"/>
      <c r="H582" s="118"/>
      <c r="I582" s="119"/>
      <c r="J582" s="119"/>
      <c r="K582" s="35"/>
    </row>
    <row r="583">
      <c r="B583" s="116"/>
      <c r="G583" s="167"/>
      <c r="H583" s="118"/>
      <c r="I583" s="119"/>
      <c r="J583" s="119"/>
      <c r="K583" s="35"/>
    </row>
    <row r="584">
      <c r="B584" s="116"/>
      <c r="G584" s="167"/>
      <c r="H584" s="118"/>
      <c r="I584" s="119"/>
      <c r="J584" s="119"/>
      <c r="K584" s="35"/>
    </row>
    <row r="585">
      <c r="B585" s="116"/>
      <c r="G585" s="167"/>
      <c r="H585" s="118"/>
      <c r="I585" s="119"/>
      <c r="J585" s="119"/>
      <c r="K585" s="35"/>
    </row>
    <row r="586">
      <c r="B586" s="116"/>
      <c r="G586" s="167"/>
      <c r="H586" s="118"/>
      <c r="I586" s="119"/>
      <c r="J586" s="119"/>
      <c r="K586" s="35"/>
    </row>
    <row r="587">
      <c r="B587" s="116"/>
      <c r="G587" s="167"/>
      <c r="H587" s="118"/>
      <c r="I587" s="119"/>
      <c r="J587" s="119"/>
      <c r="K587" s="35"/>
    </row>
    <row r="588">
      <c r="B588" s="116"/>
      <c r="G588" s="167"/>
      <c r="H588" s="118"/>
      <c r="I588" s="119"/>
      <c r="J588" s="119"/>
      <c r="K588" s="35"/>
    </row>
    <row r="589">
      <c r="B589" s="116"/>
      <c r="G589" s="167"/>
      <c r="H589" s="118"/>
      <c r="I589" s="119"/>
      <c r="J589" s="119"/>
      <c r="K589" s="35"/>
    </row>
    <row r="590">
      <c r="B590" s="116"/>
      <c r="G590" s="167"/>
      <c r="H590" s="118"/>
      <c r="I590" s="119"/>
      <c r="J590" s="119"/>
      <c r="K590" s="35"/>
    </row>
    <row r="591">
      <c r="B591" s="116"/>
      <c r="G591" s="167"/>
      <c r="H591" s="118"/>
      <c r="I591" s="119"/>
      <c r="J591" s="119"/>
      <c r="K591" s="35"/>
    </row>
    <row r="592">
      <c r="B592" s="116"/>
      <c r="G592" s="167"/>
      <c r="H592" s="118"/>
      <c r="I592" s="119"/>
      <c r="J592" s="119"/>
      <c r="K592" s="35"/>
    </row>
    <row r="593">
      <c r="B593" s="116"/>
      <c r="G593" s="167"/>
      <c r="H593" s="118"/>
      <c r="I593" s="119"/>
      <c r="J593" s="119"/>
      <c r="K593" s="35"/>
    </row>
    <row r="594">
      <c r="B594" s="116"/>
      <c r="G594" s="167"/>
      <c r="H594" s="118"/>
      <c r="I594" s="119"/>
      <c r="J594" s="119"/>
      <c r="K594" s="35"/>
    </row>
    <row r="595">
      <c r="B595" s="116"/>
      <c r="G595" s="167"/>
      <c r="H595" s="118"/>
      <c r="I595" s="119"/>
      <c r="J595" s="119"/>
      <c r="K595" s="35"/>
    </row>
    <row r="596">
      <c r="B596" s="116"/>
      <c r="G596" s="167"/>
      <c r="H596" s="118"/>
      <c r="I596" s="119"/>
      <c r="J596" s="119"/>
      <c r="K596" s="35"/>
    </row>
    <row r="597">
      <c r="B597" s="116"/>
      <c r="G597" s="167"/>
      <c r="H597" s="118"/>
      <c r="I597" s="119"/>
      <c r="J597" s="119"/>
      <c r="K597" s="35"/>
    </row>
    <row r="598">
      <c r="B598" s="116"/>
      <c r="G598" s="167"/>
      <c r="H598" s="118"/>
      <c r="I598" s="119"/>
      <c r="J598" s="119"/>
      <c r="K598" s="35"/>
    </row>
    <row r="599">
      <c r="B599" s="116"/>
      <c r="G599" s="167"/>
      <c r="H599" s="118"/>
      <c r="I599" s="119"/>
      <c r="J599" s="119"/>
      <c r="K599" s="35"/>
    </row>
    <row r="600">
      <c r="B600" s="116"/>
      <c r="G600" s="167"/>
      <c r="H600" s="118"/>
      <c r="I600" s="119"/>
      <c r="J600" s="119"/>
      <c r="K600" s="35"/>
    </row>
    <row r="601">
      <c r="B601" s="116"/>
      <c r="G601" s="167"/>
      <c r="H601" s="118"/>
      <c r="I601" s="119"/>
      <c r="J601" s="119"/>
      <c r="K601" s="35"/>
    </row>
    <row r="602">
      <c r="B602" s="116"/>
      <c r="G602" s="167"/>
      <c r="H602" s="118"/>
      <c r="I602" s="119"/>
      <c r="J602" s="119"/>
      <c r="K602" s="35"/>
    </row>
    <row r="603">
      <c r="B603" s="116"/>
      <c r="G603" s="167"/>
      <c r="H603" s="118"/>
      <c r="I603" s="119"/>
      <c r="J603" s="119"/>
      <c r="K603" s="35"/>
    </row>
    <row r="604">
      <c r="B604" s="116"/>
      <c r="G604" s="167"/>
      <c r="H604" s="118"/>
      <c r="I604" s="119"/>
      <c r="J604" s="119"/>
      <c r="K604" s="35"/>
    </row>
    <row r="605">
      <c r="B605" s="116"/>
      <c r="G605" s="167"/>
      <c r="H605" s="118"/>
      <c r="I605" s="119"/>
      <c r="J605" s="119"/>
      <c r="K605" s="35"/>
    </row>
    <row r="606">
      <c r="B606" s="116"/>
      <c r="G606" s="167"/>
      <c r="H606" s="118"/>
      <c r="I606" s="119"/>
      <c r="J606" s="119"/>
      <c r="K606" s="35"/>
    </row>
    <row r="607">
      <c r="B607" s="116"/>
      <c r="G607" s="167"/>
      <c r="H607" s="118"/>
      <c r="I607" s="119"/>
      <c r="J607" s="119"/>
      <c r="K607" s="35"/>
    </row>
    <row r="608">
      <c r="B608" s="116"/>
      <c r="G608" s="167"/>
      <c r="H608" s="118"/>
      <c r="I608" s="119"/>
      <c r="J608" s="119"/>
      <c r="K608" s="35"/>
    </row>
    <row r="609">
      <c r="B609" s="116"/>
      <c r="G609" s="167"/>
      <c r="H609" s="118"/>
      <c r="I609" s="119"/>
      <c r="J609" s="119"/>
      <c r="K609" s="35"/>
    </row>
    <row r="610">
      <c r="B610" s="116"/>
      <c r="G610" s="167"/>
      <c r="H610" s="118"/>
      <c r="I610" s="119"/>
      <c r="J610" s="119"/>
      <c r="K610" s="35"/>
    </row>
    <row r="611">
      <c r="B611" s="116"/>
      <c r="G611" s="167"/>
      <c r="H611" s="118"/>
      <c r="I611" s="119"/>
      <c r="J611" s="119"/>
      <c r="K611" s="35"/>
    </row>
    <row r="612">
      <c r="B612" s="116"/>
      <c r="G612" s="167"/>
      <c r="H612" s="118"/>
      <c r="I612" s="119"/>
      <c r="J612" s="119"/>
      <c r="K612" s="35"/>
    </row>
    <row r="613">
      <c r="B613" s="116"/>
      <c r="G613" s="167"/>
      <c r="H613" s="118"/>
      <c r="I613" s="119"/>
      <c r="J613" s="119"/>
      <c r="K613" s="35"/>
    </row>
    <row r="614">
      <c r="B614" s="116"/>
      <c r="G614" s="167"/>
      <c r="H614" s="118"/>
      <c r="I614" s="119"/>
      <c r="J614" s="119"/>
      <c r="K614" s="35"/>
    </row>
    <row r="615">
      <c r="B615" s="116"/>
      <c r="G615" s="167"/>
      <c r="H615" s="118"/>
      <c r="I615" s="119"/>
      <c r="J615" s="119"/>
      <c r="K615" s="35"/>
    </row>
    <row r="616">
      <c r="B616" s="116"/>
      <c r="G616" s="167"/>
      <c r="H616" s="118"/>
      <c r="I616" s="119"/>
      <c r="J616" s="119"/>
      <c r="K616" s="35"/>
    </row>
    <row r="617">
      <c r="B617" s="116"/>
      <c r="G617" s="167"/>
      <c r="H617" s="118"/>
      <c r="I617" s="119"/>
      <c r="J617" s="119"/>
      <c r="K617" s="35"/>
    </row>
    <row r="618">
      <c r="B618" s="116"/>
      <c r="G618" s="167"/>
      <c r="H618" s="118"/>
      <c r="I618" s="119"/>
      <c r="J618" s="119"/>
      <c r="K618" s="35"/>
    </row>
    <row r="619">
      <c r="B619" s="116"/>
      <c r="G619" s="167"/>
      <c r="H619" s="118"/>
      <c r="I619" s="119"/>
      <c r="J619" s="119"/>
      <c r="K619" s="35"/>
    </row>
    <row r="620">
      <c r="B620" s="116"/>
      <c r="G620" s="167"/>
      <c r="H620" s="118"/>
      <c r="I620" s="119"/>
      <c r="J620" s="119"/>
      <c r="K620" s="35"/>
    </row>
    <row r="621">
      <c r="B621" s="116"/>
      <c r="G621" s="167"/>
      <c r="H621" s="118"/>
      <c r="I621" s="119"/>
      <c r="J621" s="119"/>
      <c r="K621" s="35"/>
    </row>
    <row r="622">
      <c r="B622" s="116"/>
      <c r="G622" s="167"/>
      <c r="H622" s="118"/>
      <c r="I622" s="119"/>
      <c r="J622" s="119"/>
      <c r="K622" s="35"/>
    </row>
    <row r="623">
      <c r="B623" s="116"/>
      <c r="G623" s="167"/>
      <c r="H623" s="118"/>
      <c r="I623" s="119"/>
      <c r="J623" s="119"/>
      <c r="K623" s="35"/>
    </row>
    <row r="624">
      <c r="B624" s="116"/>
      <c r="G624" s="167"/>
      <c r="H624" s="118"/>
      <c r="I624" s="119"/>
      <c r="J624" s="119"/>
      <c r="K624" s="35"/>
    </row>
    <row r="625">
      <c r="B625" s="116"/>
      <c r="G625" s="167"/>
      <c r="H625" s="118"/>
      <c r="I625" s="119"/>
      <c r="J625" s="119"/>
      <c r="K625" s="35"/>
    </row>
    <row r="626">
      <c r="B626" s="116"/>
      <c r="G626" s="167"/>
      <c r="H626" s="118"/>
      <c r="I626" s="119"/>
      <c r="J626" s="119"/>
      <c r="K626" s="35"/>
    </row>
    <row r="627">
      <c r="B627" s="116"/>
      <c r="G627" s="167"/>
      <c r="H627" s="118"/>
      <c r="I627" s="119"/>
      <c r="J627" s="119"/>
      <c r="K627" s="35"/>
    </row>
    <row r="628">
      <c r="B628" s="116"/>
      <c r="G628" s="167"/>
      <c r="H628" s="118"/>
      <c r="I628" s="119"/>
      <c r="J628" s="119"/>
      <c r="K628" s="35"/>
    </row>
    <row r="629">
      <c r="B629" s="116"/>
      <c r="G629" s="167"/>
      <c r="H629" s="118"/>
      <c r="I629" s="119"/>
      <c r="J629" s="119"/>
      <c r="K629" s="35"/>
    </row>
    <row r="630">
      <c r="B630" s="116"/>
      <c r="G630" s="167"/>
      <c r="H630" s="118"/>
      <c r="I630" s="119"/>
      <c r="J630" s="119"/>
      <c r="K630" s="35"/>
    </row>
    <row r="631">
      <c r="B631" s="116"/>
      <c r="G631" s="167"/>
      <c r="H631" s="118"/>
      <c r="I631" s="119"/>
      <c r="J631" s="119"/>
      <c r="K631" s="35"/>
    </row>
    <row r="632">
      <c r="B632" s="116"/>
      <c r="G632" s="167"/>
      <c r="H632" s="118"/>
      <c r="I632" s="119"/>
      <c r="J632" s="119"/>
      <c r="K632" s="35"/>
    </row>
    <row r="633">
      <c r="B633" s="116"/>
      <c r="G633" s="167"/>
      <c r="H633" s="118"/>
      <c r="I633" s="119"/>
      <c r="J633" s="119"/>
      <c r="K633" s="35"/>
    </row>
    <row r="634">
      <c r="B634" s="116"/>
      <c r="G634" s="167"/>
      <c r="H634" s="118"/>
      <c r="I634" s="119"/>
      <c r="J634" s="119"/>
      <c r="K634" s="35"/>
    </row>
    <row r="635">
      <c r="B635" s="116"/>
      <c r="G635" s="167"/>
      <c r="H635" s="118"/>
      <c r="I635" s="119"/>
      <c r="J635" s="119"/>
      <c r="K635" s="35"/>
    </row>
    <row r="636">
      <c r="B636" s="116"/>
      <c r="G636" s="167"/>
      <c r="H636" s="118"/>
      <c r="I636" s="119"/>
      <c r="J636" s="119"/>
      <c r="K636" s="35"/>
    </row>
    <row r="637">
      <c r="B637" s="116"/>
      <c r="G637" s="167"/>
      <c r="H637" s="118"/>
      <c r="I637" s="119"/>
      <c r="J637" s="119"/>
      <c r="K637" s="35"/>
    </row>
    <row r="638">
      <c r="B638" s="116"/>
      <c r="G638" s="167"/>
      <c r="H638" s="118"/>
      <c r="I638" s="119"/>
      <c r="J638" s="119"/>
      <c r="K638" s="35"/>
    </row>
    <row r="639">
      <c r="B639" s="116"/>
      <c r="G639" s="167"/>
      <c r="H639" s="118"/>
      <c r="I639" s="119"/>
      <c r="J639" s="119"/>
      <c r="K639" s="35"/>
    </row>
    <row r="640">
      <c r="B640" s="116"/>
      <c r="G640" s="167"/>
      <c r="H640" s="118"/>
      <c r="I640" s="119"/>
      <c r="J640" s="119"/>
      <c r="K640" s="35"/>
    </row>
    <row r="641">
      <c r="B641" s="116"/>
      <c r="G641" s="167"/>
      <c r="H641" s="118"/>
      <c r="I641" s="119"/>
      <c r="J641" s="119"/>
      <c r="K641" s="35"/>
    </row>
    <row r="642">
      <c r="B642" s="116"/>
      <c r="G642" s="167"/>
      <c r="H642" s="118"/>
      <c r="I642" s="119"/>
      <c r="J642" s="119"/>
      <c r="K642" s="35"/>
    </row>
    <row r="643">
      <c r="B643" s="116"/>
      <c r="G643" s="167"/>
      <c r="H643" s="118"/>
      <c r="I643" s="119"/>
      <c r="J643" s="119"/>
      <c r="K643" s="35"/>
    </row>
    <row r="644">
      <c r="B644" s="116"/>
      <c r="G644" s="167"/>
      <c r="H644" s="118"/>
      <c r="I644" s="119"/>
      <c r="J644" s="119"/>
      <c r="K644" s="35"/>
    </row>
    <row r="645">
      <c r="B645" s="116"/>
      <c r="G645" s="167"/>
      <c r="H645" s="118"/>
      <c r="I645" s="119"/>
      <c r="J645" s="119"/>
      <c r="K645" s="35"/>
    </row>
    <row r="646">
      <c r="B646" s="116"/>
      <c r="G646" s="167"/>
      <c r="H646" s="118"/>
      <c r="I646" s="119"/>
      <c r="J646" s="119"/>
      <c r="K646" s="35"/>
    </row>
    <row r="647">
      <c r="B647" s="116"/>
      <c r="G647" s="167"/>
      <c r="H647" s="118"/>
      <c r="I647" s="119"/>
      <c r="J647" s="119"/>
      <c r="K647" s="35"/>
    </row>
    <row r="648">
      <c r="B648" s="116"/>
      <c r="G648" s="167"/>
      <c r="H648" s="118"/>
      <c r="I648" s="119"/>
      <c r="J648" s="119"/>
      <c r="K648" s="35"/>
    </row>
    <row r="649">
      <c r="B649" s="116"/>
      <c r="G649" s="167"/>
      <c r="H649" s="118"/>
      <c r="I649" s="119"/>
      <c r="J649" s="119"/>
      <c r="K649" s="35"/>
    </row>
    <row r="650">
      <c r="B650" s="116"/>
      <c r="G650" s="167"/>
      <c r="H650" s="118"/>
      <c r="I650" s="119"/>
      <c r="J650" s="119"/>
      <c r="K650" s="35"/>
    </row>
    <row r="651">
      <c r="B651" s="116"/>
      <c r="G651" s="167"/>
      <c r="H651" s="118"/>
      <c r="I651" s="119"/>
      <c r="J651" s="119"/>
      <c r="K651" s="35"/>
    </row>
    <row r="652">
      <c r="B652" s="116"/>
      <c r="G652" s="167"/>
      <c r="H652" s="118"/>
      <c r="I652" s="119"/>
      <c r="J652" s="119"/>
      <c r="K652" s="35"/>
    </row>
    <row r="653">
      <c r="B653" s="116"/>
      <c r="G653" s="167"/>
      <c r="H653" s="118"/>
      <c r="I653" s="119"/>
      <c r="J653" s="119"/>
      <c r="K653" s="35"/>
    </row>
    <row r="654">
      <c r="B654" s="116"/>
      <c r="G654" s="167"/>
      <c r="H654" s="118"/>
      <c r="I654" s="119"/>
      <c r="J654" s="119"/>
      <c r="K654" s="35"/>
    </row>
    <row r="655">
      <c r="B655" s="116"/>
      <c r="G655" s="167"/>
      <c r="H655" s="118"/>
      <c r="I655" s="119"/>
      <c r="J655" s="119"/>
      <c r="K655" s="35"/>
    </row>
    <row r="656">
      <c r="B656" s="116"/>
      <c r="G656" s="167"/>
      <c r="H656" s="118"/>
      <c r="I656" s="119"/>
      <c r="J656" s="119"/>
      <c r="K656" s="35"/>
    </row>
    <row r="657">
      <c r="B657" s="116"/>
      <c r="G657" s="167"/>
      <c r="H657" s="118"/>
      <c r="I657" s="119"/>
      <c r="J657" s="119"/>
      <c r="K657" s="35"/>
    </row>
    <row r="658">
      <c r="B658" s="116"/>
      <c r="G658" s="167"/>
      <c r="H658" s="118"/>
      <c r="I658" s="119"/>
      <c r="J658" s="119"/>
      <c r="K658" s="35"/>
    </row>
    <row r="659">
      <c r="B659" s="116"/>
      <c r="G659" s="167"/>
      <c r="H659" s="118"/>
      <c r="I659" s="119"/>
      <c r="J659" s="119"/>
      <c r="K659" s="35"/>
    </row>
    <row r="660">
      <c r="B660" s="116"/>
      <c r="G660" s="167"/>
      <c r="H660" s="118"/>
      <c r="I660" s="119"/>
      <c r="J660" s="119"/>
      <c r="K660" s="35"/>
    </row>
    <row r="661">
      <c r="B661" s="116"/>
      <c r="G661" s="167"/>
      <c r="H661" s="118"/>
      <c r="I661" s="119"/>
      <c r="J661" s="119"/>
      <c r="K661" s="35"/>
    </row>
    <row r="662">
      <c r="B662" s="116"/>
      <c r="G662" s="167"/>
      <c r="H662" s="118"/>
      <c r="I662" s="119"/>
      <c r="J662" s="119"/>
      <c r="K662" s="35"/>
    </row>
    <row r="663">
      <c r="B663" s="116"/>
      <c r="G663" s="167"/>
      <c r="H663" s="118"/>
      <c r="I663" s="119"/>
      <c r="J663" s="119"/>
      <c r="K663" s="35"/>
    </row>
    <row r="664">
      <c r="B664" s="116"/>
      <c r="G664" s="167"/>
      <c r="H664" s="118"/>
      <c r="I664" s="119"/>
      <c r="J664" s="119"/>
      <c r="K664" s="35"/>
    </row>
    <row r="665">
      <c r="B665" s="116"/>
      <c r="G665" s="167"/>
      <c r="H665" s="118"/>
      <c r="I665" s="119"/>
      <c r="J665" s="119"/>
      <c r="K665" s="35"/>
    </row>
    <row r="666">
      <c r="B666" s="116"/>
      <c r="G666" s="167"/>
      <c r="H666" s="118"/>
      <c r="I666" s="119"/>
      <c r="J666" s="119"/>
      <c r="K666" s="35"/>
    </row>
    <row r="667">
      <c r="B667" s="116"/>
      <c r="G667" s="167"/>
      <c r="H667" s="118"/>
      <c r="I667" s="119"/>
      <c r="J667" s="119"/>
      <c r="K667" s="35"/>
    </row>
    <row r="668">
      <c r="B668" s="116"/>
      <c r="G668" s="167"/>
      <c r="H668" s="118"/>
      <c r="I668" s="119"/>
      <c r="J668" s="119"/>
      <c r="K668" s="35"/>
    </row>
    <row r="669">
      <c r="B669" s="116"/>
      <c r="G669" s="167"/>
      <c r="H669" s="118"/>
      <c r="I669" s="119"/>
      <c r="J669" s="119"/>
      <c r="K669" s="35"/>
    </row>
    <row r="670">
      <c r="B670" s="116"/>
      <c r="G670" s="167"/>
      <c r="H670" s="118"/>
      <c r="I670" s="119"/>
      <c r="J670" s="119"/>
      <c r="K670" s="35"/>
    </row>
    <row r="671">
      <c r="B671" s="116"/>
      <c r="G671" s="167"/>
      <c r="H671" s="118"/>
      <c r="I671" s="119"/>
      <c r="J671" s="119"/>
      <c r="K671" s="35"/>
    </row>
    <row r="672">
      <c r="B672" s="116"/>
      <c r="G672" s="167"/>
      <c r="H672" s="118"/>
      <c r="I672" s="119"/>
      <c r="J672" s="119"/>
      <c r="K672" s="35"/>
    </row>
    <row r="673">
      <c r="B673" s="116"/>
      <c r="G673" s="167"/>
      <c r="H673" s="118"/>
      <c r="I673" s="119"/>
      <c r="J673" s="119"/>
      <c r="K673" s="35"/>
    </row>
    <row r="674">
      <c r="B674" s="116"/>
      <c r="G674" s="167"/>
      <c r="H674" s="118"/>
      <c r="I674" s="119"/>
      <c r="J674" s="119"/>
      <c r="K674" s="35"/>
    </row>
    <row r="675">
      <c r="B675" s="116"/>
      <c r="G675" s="167"/>
      <c r="H675" s="118"/>
      <c r="I675" s="119"/>
      <c r="J675" s="119"/>
      <c r="K675" s="35"/>
    </row>
    <row r="676">
      <c r="B676" s="116"/>
      <c r="G676" s="167"/>
      <c r="H676" s="118"/>
      <c r="I676" s="119"/>
      <c r="J676" s="119"/>
      <c r="K676" s="35"/>
    </row>
    <row r="677">
      <c r="B677" s="116"/>
      <c r="G677" s="167"/>
      <c r="H677" s="118"/>
      <c r="I677" s="119"/>
      <c r="J677" s="119"/>
      <c r="K677" s="35"/>
    </row>
    <row r="678">
      <c r="B678" s="116"/>
      <c r="G678" s="167"/>
      <c r="H678" s="118"/>
      <c r="I678" s="119"/>
      <c r="J678" s="119"/>
      <c r="K678" s="35"/>
    </row>
    <row r="679">
      <c r="B679" s="116"/>
      <c r="G679" s="167"/>
      <c r="H679" s="118"/>
      <c r="I679" s="119"/>
      <c r="J679" s="119"/>
      <c r="K679" s="35"/>
    </row>
    <row r="680">
      <c r="B680" s="116"/>
      <c r="G680" s="167"/>
      <c r="H680" s="118"/>
      <c r="I680" s="119"/>
      <c r="J680" s="119"/>
      <c r="K680" s="35"/>
    </row>
    <row r="681">
      <c r="B681" s="116"/>
      <c r="G681" s="167"/>
      <c r="H681" s="118"/>
      <c r="I681" s="119"/>
      <c r="J681" s="119"/>
      <c r="K681" s="35"/>
    </row>
    <row r="682">
      <c r="B682" s="116"/>
      <c r="G682" s="167"/>
      <c r="H682" s="118"/>
      <c r="I682" s="119"/>
      <c r="J682" s="119"/>
      <c r="K682" s="35"/>
    </row>
    <row r="683">
      <c r="B683" s="116"/>
      <c r="G683" s="167"/>
      <c r="H683" s="118"/>
      <c r="I683" s="119"/>
      <c r="J683" s="119"/>
      <c r="K683" s="35"/>
    </row>
    <row r="684">
      <c r="B684" s="116"/>
      <c r="G684" s="167"/>
      <c r="H684" s="118"/>
      <c r="I684" s="119"/>
      <c r="J684" s="119"/>
      <c r="K684" s="35"/>
    </row>
    <row r="685">
      <c r="B685" s="116"/>
      <c r="G685" s="167"/>
      <c r="H685" s="118"/>
      <c r="I685" s="119"/>
      <c r="J685" s="119"/>
      <c r="K685" s="35"/>
    </row>
    <row r="686">
      <c r="B686" s="116"/>
      <c r="G686" s="167"/>
      <c r="H686" s="118"/>
      <c r="I686" s="119"/>
      <c r="J686" s="119"/>
      <c r="K686" s="35"/>
    </row>
    <row r="687">
      <c r="B687" s="116"/>
      <c r="G687" s="167"/>
      <c r="H687" s="118"/>
      <c r="I687" s="119"/>
      <c r="J687" s="119"/>
      <c r="K687" s="35"/>
    </row>
    <row r="688">
      <c r="B688" s="116"/>
      <c r="G688" s="167"/>
      <c r="H688" s="118"/>
      <c r="I688" s="119"/>
      <c r="J688" s="119"/>
      <c r="K688" s="35"/>
    </row>
    <row r="689">
      <c r="B689" s="116"/>
      <c r="G689" s="167"/>
      <c r="H689" s="118"/>
      <c r="I689" s="119"/>
      <c r="J689" s="119"/>
      <c r="K689" s="35"/>
    </row>
    <row r="690">
      <c r="B690" s="116"/>
      <c r="G690" s="167"/>
      <c r="H690" s="118"/>
      <c r="I690" s="119"/>
      <c r="J690" s="119"/>
      <c r="K690" s="35"/>
    </row>
    <row r="691">
      <c r="B691" s="116"/>
      <c r="G691" s="167"/>
      <c r="H691" s="118"/>
      <c r="I691" s="119"/>
      <c r="J691" s="119"/>
      <c r="K691" s="35"/>
    </row>
    <row r="692">
      <c r="B692" s="116"/>
      <c r="G692" s="167"/>
      <c r="H692" s="118"/>
      <c r="I692" s="119"/>
      <c r="J692" s="119"/>
      <c r="K692" s="35"/>
    </row>
    <row r="693">
      <c r="B693" s="116"/>
      <c r="G693" s="167"/>
      <c r="H693" s="118"/>
      <c r="I693" s="119"/>
      <c r="J693" s="119"/>
      <c r="K693" s="35"/>
    </row>
    <row r="694">
      <c r="B694" s="116"/>
      <c r="G694" s="167"/>
      <c r="H694" s="118"/>
      <c r="I694" s="119"/>
      <c r="J694" s="119"/>
      <c r="K694" s="35"/>
    </row>
    <row r="695">
      <c r="B695" s="116"/>
      <c r="G695" s="167"/>
      <c r="H695" s="118"/>
      <c r="I695" s="119"/>
      <c r="J695" s="119"/>
      <c r="K695" s="35"/>
    </row>
    <row r="696">
      <c r="B696" s="116"/>
      <c r="G696" s="167"/>
      <c r="H696" s="118"/>
      <c r="I696" s="119"/>
      <c r="J696" s="119"/>
      <c r="K696" s="35"/>
    </row>
    <row r="697">
      <c r="B697" s="116"/>
      <c r="G697" s="167"/>
      <c r="H697" s="118"/>
      <c r="I697" s="119"/>
      <c r="J697" s="119"/>
      <c r="K697" s="35"/>
    </row>
    <row r="698">
      <c r="B698" s="116"/>
      <c r="G698" s="167"/>
      <c r="H698" s="118"/>
      <c r="I698" s="119"/>
      <c r="J698" s="119"/>
      <c r="K698" s="35"/>
    </row>
    <row r="699">
      <c r="B699" s="116"/>
      <c r="G699" s="167"/>
      <c r="H699" s="118"/>
      <c r="I699" s="119"/>
      <c r="J699" s="119"/>
      <c r="K699" s="35"/>
    </row>
    <row r="700">
      <c r="B700" s="116"/>
      <c r="G700" s="167"/>
      <c r="H700" s="118"/>
      <c r="I700" s="119"/>
      <c r="J700" s="119"/>
      <c r="K700" s="35"/>
    </row>
    <row r="701">
      <c r="B701" s="116"/>
      <c r="G701" s="167"/>
      <c r="H701" s="118"/>
      <c r="I701" s="119"/>
      <c r="J701" s="119"/>
      <c r="K701" s="35"/>
    </row>
    <row r="702">
      <c r="B702" s="116"/>
      <c r="G702" s="167"/>
      <c r="H702" s="118"/>
      <c r="I702" s="119"/>
      <c r="J702" s="119"/>
      <c r="K702" s="35"/>
    </row>
    <row r="703">
      <c r="B703" s="116"/>
      <c r="G703" s="167"/>
      <c r="H703" s="118"/>
      <c r="I703" s="119"/>
      <c r="J703" s="119"/>
      <c r="K703" s="35"/>
    </row>
    <row r="704">
      <c r="B704" s="116"/>
      <c r="G704" s="167"/>
      <c r="H704" s="118"/>
      <c r="I704" s="119"/>
      <c r="J704" s="119"/>
      <c r="K704" s="35"/>
    </row>
    <row r="705">
      <c r="B705" s="116"/>
      <c r="G705" s="167"/>
      <c r="H705" s="118"/>
      <c r="I705" s="119"/>
      <c r="J705" s="119"/>
      <c r="K705" s="35"/>
    </row>
    <row r="706">
      <c r="B706" s="116"/>
      <c r="G706" s="167"/>
      <c r="H706" s="118"/>
      <c r="I706" s="119"/>
      <c r="J706" s="119"/>
      <c r="K706" s="35"/>
    </row>
    <row r="707">
      <c r="B707" s="116"/>
      <c r="G707" s="167"/>
      <c r="H707" s="118"/>
      <c r="I707" s="119"/>
      <c r="J707" s="119"/>
      <c r="K707" s="35"/>
    </row>
    <row r="708">
      <c r="B708" s="116"/>
      <c r="G708" s="167"/>
      <c r="H708" s="118"/>
      <c r="I708" s="119"/>
      <c r="J708" s="119"/>
      <c r="K708" s="35"/>
    </row>
    <row r="709">
      <c r="B709" s="116"/>
      <c r="G709" s="167"/>
      <c r="H709" s="118"/>
      <c r="I709" s="119"/>
      <c r="J709" s="119"/>
      <c r="K709" s="35"/>
    </row>
    <row r="710">
      <c r="B710" s="116"/>
      <c r="G710" s="167"/>
      <c r="H710" s="118"/>
      <c r="I710" s="119"/>
      <c r="J710" s="119"/>
      <c r="K710" s="35"/>
    </row>
    <row r="711">
      <c r="B711" s="116"/>
      <c r="G711" s="167"/>
      <c r="H711" s="118"/>
      <c r="I711" s="119"/>
      <c r="J711" s="119"/>
      <c r="K711" s="35"/>
    </row>
    <row r="712">
      <c r="B712" s="116"/>
      <c r="G712" s="167"/>
      <c r="H712" s="118"/>
      <c r="I712" s="119"/>
      <c r="J712" s="119"/>
      <c r="K712" s="35"/>
    </row>
    <row r="713">
      <c r="B713" s="116"/>
      <c r="G713" s="167"/>
      <c r="H713" s="118"/>
      <c r="I713" s="119"/>
      <c r="J713" s="119"/>
      <c r="K713" s="35"/>
    </row>
    <row r="714">
      <c r="B714" s="116"/>
      <c r="G714" s="167"/>
      <c r="H714" s="118"/>
      <c r="I714" s="119"/>
      <c r="J714" s="119"/>
      <c r="K714" s="35"/>
    </row>
    <row r="715">
      <c r="B715" s="116"/>
      <c r="G715" s="167"/>
      <c r="H715" s="118"/>
      <c r="I715" s="119"/>
      <c r="J715" s="119"/>
      <c r="K715" s="35"/>
    </row>
    <row r="716">
      <c r="B716" s="116"/>
      <c r="G716" s="167"/>
      <c r="H716" s="118"/>
      <c r="I716" s="119"/>
      <c r="J716" s="119"/>
      <c r="K716" s="35"/>
    </row>
    <row r="717">
      <c r="B717" s="116"/>
      <c r="G717" s="167"/>
      <c r="H717" s="118"/>
      <c r="I717" s="119"/>
      <c r="J717" s="119"/>
      <c r="K717" s="35"/>
    </row>
    <row r="718">
      <c r="B718" s="116"/>
      <c r="G718" s="167"/>
      <c r="H718" s="118"/>
      <c r="I718" s="119"/>
      <c r="J718" s="119"/>
      <c r="K718" s="35"/>
    </row>
    <row r="719">
      <c r="B719" s="116"/>
      <c r="G719" s="167"/>
      <c r="H719" s="118"/>
      <c r="I719" s="119"/>
      <c r="J719" s="119"/>
      <c r="K719" s="35"/>
    </row>
    <row r="720">
      <c r="B720" s="116"/>
      <c r="G720" s="167"/>
      <c r="H720" s="118"/>
      <c r="I720" s="119"/>
      <c r="J720" s="119"/>
      <c r="K720" s="35"/>
    </row>
    <row r="721">
      <c r="B721" s="116"/>
      <c r="G721" s="167"/>
      <c r="H721" s="118"/>
      <c r="I721" s="119"/>
      <c r="J721" s="119"/>
      <c r="K721" s="35"/>
    </row>
    <row r="722">
      <c r="B722" s="116"/>
      <c r="G722" s="167"/>
      <c r="H722" s="118"/>
      <c r="I722" s="119"/>
      <c r="J722" s="119"/>
      <c r="K722" s="35"/>
    </row>
    <row r="723">
      <c r="B723" s="116"/>
      <c r="G723" s="167"/>
      <c r="H723" s="118"/>
      <c r="I723" s="119"/>
      <c r="J723" s="119"/>
      <c r="K723" s="35"/>
    </row>
    <row r="724">
      <c r="B724" s="116"/>
      <c r="G724" s="167"/>
      <c r="H724" s="118"/>
      <c r="I724" s="119"/>
      <c r="J724" s="119"/>
      <c r="K724" s="35"/>
    </row>
    <row r="725">
      <c r="B725" s="116"/>
      <c r="G725" s="167"/>
      <c r="H725" s="118"/>
      <c r="I725" s="119"/>
      <c r="J725" s="119"/>
      <c r="K725" s="35"/>
    </row>
    <row r="726">
      <c r="B726" s="116"/>
      <c r="G726" s="167"/>
      <c r="H726" s="118"/>
      <c r="I726" s="119"/>
      <c r="J726" s="119"/>
      <c r="K726" s="35"/>
    </row>
    <row r="727">
      <c r="B727" s="116"/>
      <c r="G727" s="167"/>
      <c r="H727" s="118"/>
      <c r="I727" s="119"/>
      <c r="J727" s="119"/>
      <c r="K727" s="35"/>
    </row>
    <row r="728">
      <c r="B728" s="116"/>
      <c r="G728" s="167"/>
      <c r="H728" s="118"/>
      <c r="I728" s="119"/>
      <c r="J728" s="119"/>
      <c r="K728" s="35"/>
    </row>
    <row r="729">
      <c r="B729" s="116"/>
      <c r="G729" s="167"/>
      <c r="H729" s="118"/>
      <c r="I729" s="119"/>
      <c r="J729" s="119"/>
      <c r="K729" s="35"/>
    </row>
    <row r="730">
      <c r="B730" s="116"/>
      <c r="G730" s="167"/>
      <c r="H730" s="118"/>
      <c r="I730" s="119"/>
      <c r="J730" s="119"/>
      <c r="K730" s="35"/>
    </row>
    <row r="731">
      <c r="B731" s="116"/>
      <c r="G731" s="167"/>
      <c r="H731" s="118"/>
      <c r="I731" s="119"/>
      <c r="J731" s="119"/>
      <c r="K731" s="35"/>
    </row>
    <row r="732">
      <c r="B732" s="116"/>
      <c r="G732" s="167"/>
      <c r="H732" s="118"/>
      <c r="I732" s="119"/>
      <c r="J732" s="119"/>
      <c r="K732" s="35"/>
    </row>
    <row r="733">
      <c r="B733" s="116"/>
      <c r="G733" s="167"/>
      <c r="H733" s="118"/>
      <c r="I733" s="119"/>
      <c r="J733" s="119"/>
      <c r="K733" s="35"/>
    </row>
    <row r="734">
      <c r="B734" s="116"/>
      <c r="G734" s="167"/>
      <c r="H734" s="118"/>
      <c r="I734" s="119"/>
      <c r="J734" s="119"/>
      <c r="K734" s="35"/>
    </row>
    <row r="735">
      <c r="B735" s="116"/>
      <c r="G735" s="167"/>
      <c r="H735" s="118"/>
      <c r="I735" s="119"/>
      <c r="J735" s="119"/>
      <c r="K735" s="35"/>
    </row>
    <row r="736">
      <c r="B736" s="116"/>
      <c r="G736" s="167"/>
      <c r="H736" s="118"/>
      <c r="I736" s="119"/>
      <c r="J736" s="119"/>
      <c r="K736" s="35"/>
    </row>
    <row r="737">
      <c r="B737" s="116"/>
      <c r="G737" s="167"/>
      <c r="H737" s="118"/>
      <c r="I737" s="119"/>
      <c r="J737" s="119"/>
      <c r="K737" s="35"/>
    </row>
    <row r="738">
      <c r="B738" s="116"/>
      <c r="G738" s="167"/>
      <c r="H738" s="118"/>
      <c r="I738" s="119"/>
      <c r="J738" s="119"/>
      <c r="K738" s="35"/>
    </row>
    <row r="739">
      <c r="B739" s="116"/>
      <c r="G739" s="167"/>
      <c r="H739" s="118"/>
      <c r="I739" s="119"/>
      <c r="J739" s="119"/>
      <c r="K739" s="35"/>
    </row>
    <row r="740">
      <c r="B740" s="116"/>
      <c r="G740" s="167"/>
      <c r="H740" s="118"/>
      <c r="I740" s="119"/>
      <c r="J740" s="119"/>
      <c r="K740" s="35"/>
    </row>
    <row r="741">
      <c r="B741" s="116"/>
      <c r="G741" s="167"/>
      <c r="H741" s="118"/>
      <c r="I741" s="119"/>
      <c r="J741" s="119"/>
      <c r="K741" s="35"/>
    </row>
    <row r="742">
      <c r="B742" s="116"/>
      <c r="G742" s="167"/>
      <c r="H742" s="118"/>
      <c r="I742" s="119"/>
      <c r="J742" s="119"/>
      <c r="K742" s="35"/>
    </row>
    <row r="743">
      <c r="B743" s="116"/>
      <c r="G743" s="167"/>
      <c r="H743" s="118"/>
      <c r="I743" s="119"/>
      <c r="J743" s="119"/>
      <c r="K743" s="35"/>
    </row>
    <row r="744">
      <c r="B744" s="116"/>
      <c r="G744" s="167"/>
      <c r="H744" s="118"/>
      <c r="I744" s="119"/>
      <c r="J744" s="119"/>
      <c r="K744" s="35"/>
    </row>
    <row r="745">
      <c r="B745" s="116"/>
      <c r="G745" s="167"/>
      <c r="H745" s="118"/>
      <c r="I745" s="119"/>
      <c r="J745" s="119"/>
      <c r="K745" s="35"/>
    </row>
    <row r="746">
      <c r="B746" s="116"/>
      <c r="G746" s="167"/>
      <c r="H746" s="118"/>
      <c r="I746" s="119"/>
      <c r="J746" s="119"/>
      <c r="K746" s="35"/>
    </row>
    <row r="747">
      <c r="B747" s="116"/>
      <c r="G747" s="167"/>
      <c r="H747" s="118"/>
      <c r="I747" s="119"/>
      <c r="J747" s="119"/>
      <c r="K747" s="35"/>
    </row>
    <row r="748">
      <c r="B748" s="116"/>
      <c r="G748" s="167"/>
      <c r="H748" s="118"/>
      <c r="I748" s="119"/>
      <c r="J748" s="119"/>
      <c r="K748" s="35"/>
    </row>
    <row r="749">
      <c r="B749" s="116"/>
      <c r="G749" s="167"/>
      <c r="H749" s="118"/>
      <c r="I749" s="119"/>
      <c r="J749" s="119"/>
      <c r="K749" s="35"/>
    </row>
    <row r="750">
      <c r="B750" s="116"/>
      <c r="G750" s="167"/>
      <c r="H750" s="118"/>
      <c r="I750" s="119"/>
      <c r="J750" s="119"/>
      <c r="K750" s="35"/>
    </row>
    <row r="751">
      <c r="B751" s="116"/>
      <c r="G751" s="167"/>
      <c r="H751" s="118"/>
      <c r="I751" s="119"/>
      <c r="J751" s="119"/>
      <c r="K751" s="35"/>
    </row>
    <row r="752">
      <c r="B752" s="116"/>
      <c r="G752" s="167"/>
      <c r="H752" s="118"/>
      <c r="I752" s="119"/>
      <c r="J752" s="119"/>
      <c r="K752" s="35"/>
    </row>
    <row r="753">
      <c r="B753" s="116"/>
      <c r="G753" s="167"/>
      <c r="H753" s="118"/>
      <c r="I753" s="119"/>
      <c r="J753" s="119"/>
      <c r="K753" s="35"/>
    </row>
    <row r="754">
      <c r="B754" s="116"/>
      <c r="G754" s="167"/>
      <c r="H754" s="118"/>
      <c r="I754" s="119"/>
      <c r="J754" s="119"/>
      <c r="K754" s="35"/>
    </row>
    <row r="755">
      <c r="B755" s="116"/>
      <c r="G755" s="167"/>
      <c r="H755" s="118"/>
      <c r="I755" s="119"/>
      <c r="J755" s="119"/>
      <c r="K755" s="35"/>
    </row>
    <row r="756">
      <c r="B756" s="116"/>
      <c r="G756" s="167"/>
      <c r="H756" s="118"/>
      <c r="I756" s="119"/>
      <c r="J756" s="119"/>
      <c r="K756" s="35"/>
    </row>
    <row r="757">
      <c r="B757" s="116"/>
      <c r="G757" s="167"/>
      <c r="H757" s="118"/>
      <c r="I757" s="119"/>
      <c r="J757" s="119"/>
      <c r="K757" s="35"/>
    </row>
    <row r="758">
      <c r="B758" s="116"/>
      <c r="G758" s="167"/>
      <c r="H758" s="118"/>
      <c r="I758" s="119"/>
      <c r="J758" s="119"/>
      <c r="K758" s="35"/>
    </row>
    <row r="759">
      <c r="B759" s="116"/>
      <c r="G759" s="167"/>
      <c r="H759" s="118"/>
      <c r="I759" s="119"/>
      <c r="J759" s="119"/>
      <c r="K759" s="35"/>
    </row>
    <row r="760">
      <c r="B760" s="116"/>
      <c r="G760" s="167"/>
      <c r="H760" s="118"/>
      <c r="I760" s="119"/>
      <c r="J760" s="119"/>
      <c r="K760" s="35"/>
    </row>
    <row r="761">
      <c r="B761" s="116"/>
      <c r="G761" s="167"/>
      <c r="H761" s="118"/>
      <c r="I761" s="119"/>
      <c r="J761" s="119"/>
      <c r="K761" s="35"/>
    </row>
    <row r="762">
      <c r="B762" s="116"/>
      <c r="G762" s="167"/>
      <c r="H762" s="118"/>
      <c r="I762" s="119"/>
      <c r="J762" s="119"/>
      <c r="K762" s="35"/>
    </row>
    <row r="763">
      <c r="B763" s="116"/>
      <c r="G763" s="167"/>
      <c r="H763" s="118"/>
      <c r="I763" s="119"/>
      <c r="J763" s="119"/>
      <c r="K763" s="35"/>
    </row>
    <row r="764">
      <c r="B764" s="116"/>
      <c r="G764" s="167"/>
      <c r="H764" s="118"/>
      <c r="I764" s="119"/>
      <c r="J764" s="119"/>
      <c r="K764" s="35"/>
    </row>
    <row r="765">
      <c r="B765" s="116"/>
      <c r="G765" s="167"/>
      <c r="H765" s="118"/>
      <c r="I765" s="119"/>
      <c r="J765" s="119"/>
      <c r="K765" s="35"/>
    </row>
    <row r="766">
      <c r="B766" s="116"/>
      <c r="G766" s="167"/>
      <c r="H766" s="118"/>
      <c r="I766" s="119"/>
      <c r="J766" s="119"/>
      <c r="K766" s="35"/>
    </row>
    <row r="767">
      <c r="B767" s="116"/>
      <c r="G767" s="167"/>
      <c r="H767" s="118"/>
      <c r="I767" s="119"/>
      <c r="J767" s="119"/>
      <c r="K767" s="35"/>
    </row>
    <row r="768">
      <c r="B768" s="116"/>
      <c r="G768" s="167"/>
      <c r="H768" s="118"/>
      <c r="I768" s="119"/>
      <c r="J768" s="119"/>
      <c r="K768" s="35"/>
    </row>
    <row r="769">
      <c r="B769" s="116"/>
      <c r="G769" s="167"/>
      <c r="H769" s="118"/>
      <c r="I769" s="119"/>
      <c r="J769" s="119"/>
      <c r="K769" s="35"/>
    </row>
    <row r="770">
      <c r="B770" s="116"/>
      <c r="G770" s="167"/>
      <c r="H770" s="118"/>
      <c r="I770" s="119"/>
      <c r="J770" s="119"/>
      <c r="K770" s="35"/>
    </row>
    <row r="771">
      <c r="B771" s="116"/>
      <c r="G771" s="167"/>
      <c r="H771" s="118"/>
      <c r="I771" s="119"/>
      <c r="J771" s="119"/>
      <c r="K771" s="35"/>
    </row>
    <row r="772">
      <c r="B772" s="116"/>
      <c r="G772" s="167"/>
      <c r="H772" s="118"/>
      <c r="I772" s="119"/>
      <c r="J772" s="119"/>
      <c r="K772" s="35"/>
    </row>
    <row r="773">
      <c r="B773" s="116"/>
      <c r="G773" s="167"/>
      <c r="H773" s="118"/>
      <c r="I773" s="119"/>
      <c r="J773" s="119"/>
      <c r="K773" s="35"/>
    </row>
    <row r="774">
      <c r="B774" s="116"/>
      <c r="G774" s="167"/>
      <c r="H774" s="118"/>
      <c r="I774" s="119"/>
      <c r="J774" s="119"/>
      <c r="K774" s="35"/>
    </row>
    <row r="775">
      <c r="B775" s="116"/>
      <c r="G775" s="167"/>
      <c r="H775" s="118"/>
      <c r="I775" s="119"/>
      <c r="J775" s="119"/>
      <c r="K775" s="35"/>
    </row>
    <row r="776">
      <c r="B776" s="116"/>
      <c r="G776" s="167"/>
      <c r="H776" s="118"/>
      <c r="I776" s="119"/>
      <c r="J776" s="119"/>
      <c r="K776" s="35"/>
    </row>
    <row r="777">
      <c r="B777" s="116"/>
      <c r="G777" s="167"/>
      <c r="H777" s="118"/>
      <c r="I777" s="119"/>
      <c r="J777" s="119"/>
      <c r="K777" s="35"/>
    </row>
    <row r="778">
      <c r="B778" s="116"/>
      <c r="G778" s="167"/>
      <c r="H778" s="118"/>
      <c r="I778" s="119"/>
      <c r="J778" s="119"/>
      <c r="K778" s="35"/>
    </row>
    <row r="779">
      <c r="B779" s="116"/>
      <c r="G779" s="167"/>
      <c r="H779" s="118"/>
      <c r="I779" s="119"/>
      <c r="J779" s="119"/>
      <c r="K779" s="35"/>
    </row>
    <row r="780">
      <c r="B780" s="116"/>
      <c r="G780" s="167"/>
      <c r="H780" s="118"/>
      <c r="I780" s="119"/>
      <c r="J780" s="119"/>
      <c r="K780" s="35"/>
    </row>
    <row r="781">
      <c r="B781" s="116"/>
      <c r="G781" s="167"/>
      <c r="H781" s="118"/>
      <c r="I781" s="119"/>
      <c r="J781" s="119"/>
      <c r="K781" s="35"/>
    </row>
    <row r="782">
      <c r="B782" s="116"/>
      <c r="G782" s="167"/>
      <c r="H782" s="118"/>
      <c r="I782" s="119"/>
      <c r="J782" s="119"/>
      <c r="K782" s="35"/>
    </row>
    <row r="783">
      <c r="B783" s="116"/>
      <c r="G783" s="167"/>
      <c r="H783" s="118"/>
      <c r="I783" s="119"/>
      <c r="J783" s="119"/>
      <c r="K783" s="35"/>
    </row>
    <row r="784">
      <c r="B784" s="116"/>
      <c r="G784" s="167"/>
      <c r="H784" s="118"/>
      <c r="I784" s="119"/>
      <c r="J784" s="119"/>
      <c r="K784" s="35"/>
    </row>
    <row r="785">
      <c r="B785" s="116"/>
      <c r="G785" s="167"/>
      <c r="H785" s="118"/>
      <c r="I785" s="119"/>
      <c r="J785" s="119"/>
      <c r="K785" s="35"/>
    </row>
    <row r="786">
      <c r="B786" s="116"/>
      <c r="G786" s="167"/>
      <c r="H786" s="118"/>
      <c r="I786" s="119"/>
      <c r="J786" s="119"/>
      <c r="K786" s="35"/>
    </row>
    <row r="787">
      <c r="B787" s="116"/>
      <c r="G787" s="167"/>
      <c r="H787" s="118"/>
      <c r="I787" s="119"/>
      <c r="J787" s="119"/>
      <c r="K787" s="35"/>
    </row>
    <row r="788">
      <c r="B788" s="116"/>
      <c r="G788" s="167"/>
      <c r="H788" s="118"/>
      <c r="I788" s="119"/>
      <c r="J788" s="119"/>
      <c r="K788" s="35"/>
    </row>
    <row r="789">
      <c r="B789" s="116"/>
      <c r="G789" s="167"/>
      <c r="H789" s="118"/>
      <c r="I789" s="119"/>
      <c r="J789" s="119"/>
      <c r="K789" s="35"/>
    </row>
    <row r="790">
      <c r="B790" s="116"/>
      <c r="G790" s="167"/>
      <c r="H790" s="118"/>
      <c r="I790" s="119"/>
      <c r="J790" s="119"/>
      <c r="K790" s="35"/>
    </row>
    <row r="791">
      <c r="B791" s="116"/>
      <c r="G791" s="167"/>
      <c r="H791" s="118"/>
      <c r="I791" s="119"/>
      <c r="J791" s="119"/>
      <c r="K791" s="35"/>
    </row>
    <row r="792">
      <c r="B792" s="116"/>
      <c r="G792" s="167"/>
      <c r="H792" s="118"/>
      <c r="I792" s="119"/>
      <c r="J792" s="119"/>
      <c r="K792" s="35"/>
    </row>
    <row r="793">
      <c r="B793" s="116"/>
      <c r="G793" s="167"/>
      <c r="H793" s="118"/>
      <c r="I793" s="119"/>
      <c r="J793" s="119"/>
      <c r="K793" s="35"/>
    </row>
    <row r="794">
      <c r="B794" s="116"/>
      <c r="G794" s="167"/>
      <c r="H794" s="118"/>
      <c r="I794" s="119"/>
      <c r="J794" s="119"/>
      <c r="K794" s="35"/>
    </row>
    <row r="795">
      <c r="B795" s="116"/>
      <c r="G795" s="167"/>
      <c r="H795" s="118"/>
      <c r="I795" s="119"/>
      <c r="J795" s="119"/>
      <c r="K795" s="35"/>
    </row>
    <row r="796">
      <c r="B796" s="116"/>
      <c r="G796" s="167"/>
      <c r="H796" s="118"/>
      <c r="I796" s="119"/>
      <c r="J796" s="119"/>
      <c r="K796" s="35"/>
    </row>
    <row r="797">
      <c r="B797" s="116"/>
      <c r="G797" s="167"/>
      <c r="H797" s="118"/>
      <c r="I797" s="119"/>
      <c r="J797" s="119"/>
      <c r="K797" s="35"/>
    </row>
    <row r="798">
      <c r="B798" s="116"/>
      <c r="G798" s="167"/>
      <c r="H798" s="118"/>
      <c r="I798" s="119"/>
      <c r="J798" s="119"/>
      <c r="K798" s="35"/>
    </row>
    <row r="799">
      <c r="B799" s="116"/>
      <c r="G799" s="167"/>
      <c r="H799" s="118"/>
      <c r="I799" s="119"/>
      <c r="J799" s="119"/>
      <c r="K799" s="35"/>
    </row>
    <row r="800">
      <c r="B800" s="116"/>
      <c r="G800" s="167"/>
      <c r="H800" s="118"/>
      <c r="I800" s="119"/>
      <c r="J800" s="119"/>
      <c r="K800" s="35"/>
    </row>
    <row r="801">
      <c r="B801" s="116"/>
      <c r="G801" s="167"/>
      <c r="H801" s="118"/>
      <c r="I801" s="119"/>
      <c r="J801" s="119"/>
      <c r="K801" s="35"/>
    </row>
    <row r="802">
      <c r="B802" s="116"/>
      <c r="G802" s="167"/>
      <c r="H802" s="118"/>
      <c r="I802" s="119"/>
      <c r="J802" s="119"/>
      <c r="K802" s="35"/>
    </row>
    <row r="803">
      <c r="B803" s="116"/>
      <c r="G803" s="167"/>
      <c r="H803" s="118"/>
      <c r="I803" s="119"/>
      <c r="J803" s="119"/>
      <c r="K803" s="35"/>
    </row>
    <row r="804">
      <c r="B804" s="116"/>
      <c r="G804" s="167"/>
      <c r="H804" s="118"/>
      <c r="I804" s="119"/>
      <c r="J804" s="119"/>
      <c r="K804" s="35"/>
    </row>
    <row r="805">
      <c r="B805" s="116"/>
      <c r="G805" s="167"/>
      <c r="H805" s="118"/>
      <c r="I805" s="119"/>
      <c r="J805" s="119"/>
      <c r="K805" s="35"/>
    </row>
    <row r="806">
      <c r="B806" s="116"/>
      <c r="G806" s="167"/>
      <c r="H806" s="118"/>
      <c r="I806" s="119"/>
      <c r="J806" s="119"/>
      <c r="K806" s="35"/>
    </row>
    <row r="807">
      <c r="B807" s="116"/>
      <c r="G807" s="167"/>
      <c r="H807" s="118"/>
      <c r="I807" s="119"/>
      <c r="J807" s="119"/>
      <c r="K807" s="35"/>
    </row>
    <row r="808">
      <c r="B808" s="116"/>
      <c r="G808" s="167"/>
      <c r="H808" s="118"/>
      <c r="I808" s="119"/>
      <c r="J808" s="119"/>
      <c r="K808" s="35"/>
    </row>
    <row r="809">
      <c r="B809" s="116"/>
      <c r="G809" s="167"/>
      <c r="H809" s="118"/>
      <c r="I809" s="119"/>
      <c r="J809" s="119"/>
      <c r="K809" s="35"/>
    </row>
    <row r="810">
      <c r="B810" s="116"/>
      <c r="G810" s="167"/>
      <c r="H810" s="118"/>
      <c r="I810" s="119"/>
      <c r="J810" s="119"/>
      <c r="K810" s="35"/>
    </row>
    <row r="811">
      <c r="B811" s="116"/>
      <c r="G811" s="167"/>
      <c r="H811" s="118"/>
      <c r="I811" s="119"/>
      <c r="J811" s="119"/>
      <c r="K811" s="35"/>
    </row>
    <row r="812">
      <c r="B812" s="116"/>
      <c r="G812" s="167"/>
      <c r="H812" s="118"/>
      <c r="I812" s="119"/>
      <c r="J812" s="119"/>
      <c r="K812" s="35"/>
    </row>
    <row r="813">
      <c r="B813" s="116"/>
      <c r="G813" s="167"/>
      <c r="H813" s="118"/>
      <c r="I813" s="119"/>
      <c r="J813" s="119"/>
      <c r="K813" s="35"/>
    </row>
    <row r="814">
      <c r="B814" s="116"/>
      <c r="G814" s="167"/>
      <c r="H814" s="118"/>
      <c r="I814" s="119"/>
      <c r="J814" s="119"/>
      <c r="K814" s="35"/>
    </row>
    <row r="815">
      <c r="B815" s="116"/>
      <c r="G815" s="167"/>
      <c r="H815" s="118"/>
      <c r="I815" s="119"/>
      <c r="J815" s="119"/>
      <c r="K815" s="35"/>
    </row>
    <row r="816">
      <c r="B816" s="116"/>
      <c r="G816" s="167"/>
      <c r="H816" s="118"/>
      <c r="I816" s="119"/>
      <c r="J816" s="119"/>
      <c r="K816" s="35"/>
    </row>
    <row r="817">
      <c r="B817" s="116"/>
      <c r="G817" s="167"/>
      <c r="H817" s="118"/>
      <c r="I817" s="119"/>
      <c r="J817" s="119"/>
      <c r="K817" s="35"/>
    </row>
    <row r="818">
      <c r="B818" s="116"/>
      <c r="G818" s="167"/>
      <c r="H818" s="118"/>
      <c r="I818" s="119"/>
      <c r="J818" s="119"/>
      <c r="K818" s="35"/>
    </row>
    <row r="819">
      <c r="B819" s="116"/>
      <c r="G819" s="167"/>
      <c r="H819" s="118"/>
      <c r="I819" s="119"/>
      <c r="J819" s="119"/>
      <c r="K819" s="35"/>
    </row>
    <row r="820">
      <c r="B820" s="116"/>
      <c r="G820" s="167"/>
      <c r="H820" s="118"/>
      <c r="I820" s="119"/>
      <c r="J820" s="119"/>
      <c r="K820" s="35"/>
    </row>
    <row r="821">
      <c r="B821" s="116"/>
      <c r="G821" s="167"/>
      <c r="H821" s="118"/>
      <c r="I821" s="119"/>
      <c r="J821" s="119"/>
      <c r="K821" s="35"/>
    </row>
    <row r="822">
      <c r="B822" s="116"/>
      <c r="G822" s="167"/>
      <c r="H822" s="118"/>
      <c r="I822" s="119"/>
      <c r="J822" s="119"/>
      <c r="K822" s="35"/>
    </row>
    <row r="823">
      <c r="B823" s="116"/>
      <c r="G823" s="167"/>
      <c r="H823" s="118"/>
      <c r="I823" s="119"/>
      <c r="J823" s="119"/>
      <c r="K823" s="35"/>
    </row>
    <row r="824">
      <c r="B824" s="116"/>
      <c r="G824" s="167"/>
      <c r="H824" s="118"/>
      <c r="I824" s="119"/>
      <c r="J824" s="119"/>
      <c r="K824" s="35"/>
    </row>
    <row r="825">
      <c r="B825" s="116"/>
      <c r="G825" s="167"/>
      <c r="H825" s="118"/>
      <c r="I825" s="119"/>
      <c r="J825" s="119"/>
      <c r="K825" s="35"/>
    </row>
    <row r="826">
      <c r="B826" s="116"/>
      <c r="G826" s="167"/>
      <c r="H826" s="118"/>
      <c r="I826" s="119"/>
      <c r="J826" s="119"/>
      <c r="K826" s="35"/>
    </row>
    <row r="827">
      <c r="B827" s="116"/>
      <c r="G827" s="167"/>
      <c r="H827" s="118"/>
      <c r="I827" s="119"/>
      <c r="J827" s="119"/>
      <c r="K827" s="35"/>
    </row>
    <row r="828">
      <c r="B828" s="116"/>
      <c r="G828" s="167"/>
      <c r="H828" s="118"/>
      <c r="I828" s="119"/>
      <c r="J828" s="119"/>
      <c r="K828" s="35"/>
    </row>
    <row r="829">
      <c r="B829" s="116"/>
      <c r="G829" s="167"/>
      <c r="H829" s="118"/>
      <c r="I829" s="119"/>
      <c r="J829" s="119"/>
      <c r="K829" s="35"/>
    </row>
    <row r="830">
      <c r="B830" s="116"/>
      <c r="G830" s="167"/>
      <c r="H830" s="118"/>
      <c r="I830" s="119"/>
      <c r="J830" s="119"/>
      <c r="K830" s="35"/>
    </row>
    <row r="831">
      <c r="B831" s="116"/>
      <c r="G831" s="167"/>
      <c r="H831" s="118"/>
      <c r="I831" s="119"/>
      <c r="J831" s="119"/>
      <c r="K831" s="35"/>
    </row>
    <row r="832">
      <c r="B832" s="116"/>
      <c r="G832" s="167"/>
      <c r="H832" s="118"/>
      <c r="I832" s="119"/>
      <c r="J832" s="119"/>
      <c r="K832" s="35"/>
    </row>
    <row r="833">
      <c r="B833" s="116"/>
      <c r="G833" s="167"/>
      <c r="H833" s="118"/>
      <c r="I833" s="119"/>
      <c r="J833" s="119"/>
      <c r="K833" s="35"/>
    </row>
    <row r="834">
      <c r="B834" s="116"/>
      <c r="G834" s="167"/>
      <c r="H834" s="118"/>
      <c r="I834" s="119"/>
      <c r="J834" s="119"/>
      <c r="K834" s="35"/>
    </row>
    <row r="835">
      <c r="B835" s="116"/>
      <c r="G835" s="167"/>
      <c r="H835" s="118"/>
      <c r="I835" s="119"/>
      <c r="J835" s="119"/>
      <c r="K835" s="35"/>
    </row>
    <row r="836">
      <c r="B836" s="116"/>
      <c r="G836" s="167"/>
      <c r="H836" s="118"/>
      <c r="I836" s="119"/>
      <c r="J836" s="119"/>
      <c r="K836" s="35"/>
    </row>
    <row r="837">
      <c r="B837" s="116"/>
      <c r="G837" s="167"/>
      <c r="H837" s="118"/>
      <c r="I837" s="119"/>
      <c r="J837" s="119"/>
      <c r="K837" s="35"/>
    </row>
    <row r="838">
      <c r="B838" s="116"/>
      <c r="G838" s="167"/>
      <c r="H838" s="118"/>
      <c r="I838" s="119"/>
      <c r="J838" s="119"/>
      <c r="K838" s="35"/>
    </row>
    <row r="839">
      <c r="B839" s="116"/>
      <c r="G839" s="167"/>
      <c r="H839" s="118"/>
      <c r="I839" s="119"/>
      <c r="J839" s="119"/>
      <c r="K839" s="35"/>
    </row>
    <row r="840">
      <c r="B840" s="116"/>
      <c r="G840" s="167"/>
      <c r="H840" s="118"/>
      <c r="I840" s="119"/>
      <c r="J840" s="119"/>
      <c r="K840" s="35"/>
    </row>
    <row r="841">
      <c r="B841" s="116"/>
      <c r="G841" s="167"/>
      <c r="H841" s="118"/>
      <c r="I841" s="119"/>
      <c r="J841" s="119"/>
      <c r="K841" s="35"/>
    </row>
    <row r="842">
      <c r="B842" s="116"/>
      <c r="G842" s="167"/>
      <c r="H842" s="118"/>
      <c r="I842" s="119"/>
      <c r="J842" s="119"/>
      <c r="K842" s="35"/>
    </row>
    <row r="843">
      <c r="B843" s="116"/>
      <c r="G843" s="167"/>
      <c r="H843" s="118"/>
      <c r="I843" s="119"/>
      <c r="J843" s="119"/>
      <c r="K843" s="35"/>
    </row>
    <row r="844">
      <c r="B844" s="116"/>
      <c r="G844" s="167"/>
      <c r="H844" s="118"/>
      <c r="I844" s="119"/>
      <c r="J844" s="119"/>
      <c r="K844" s="35"/>
    </row>
    <row r="845">
      <c r="B845" s="116"/>
      <c r="G845" s="167"/>
      <c r="H845" s="118"/>
      <c r="I845" s="119"/>
      <c r="J845" s="119"/>
      <c r="K845" s="35"/>
    </row>
    <row r="846">
      <c r="B846" s="116"/>
      <c r="G846" s="167"/>
      <c r="H846" s="118"/>
      <c r="I846" s="119"/>
      <c r="J846" s="119"/>
      <c r="K846" s="35"/>
    </row>
    <row r="847">
      <c r="B847" s="116"/>
      <c r="G847" s="167"/>
      <c r="H847" s="118"/>
      <c r="I847" s="119"/>
      <c r="J847" s="119"/>
      <c r="K847" s="35"/>
    </row>
    <row r="848">
      <c r="B848" s="116"/>
      <c r="G848" s="167"/>
      <c r="H848" s="118"/>
      <c r="I848" s="119"/>
      <c r="J848" s="119"/>
      <c r="K848" s="35"/>
    </row>
    <row r="849">
      <c r="B849" s="116"/>
      <c r="G849" s="167"/>
      <c r="H849" s="118"/>
      <c r="I849" s="119"/>
      <c r="J849" s="119"/>
      <c r="K849" s="35"/>
    </row>
    <row r="850">
      <c r="B850" s="116"/>
      <c r="G850" s="167"/>
      <c r="H850" s="118"/>
      <c r="I850" s="119"/>
      <c r="J850" s="119"/>
      <c r="K850" s="35"/>
    </row>
    <row r="851">
      <c r="B851" s="116"/>
      <c r="G851" s="167"/>
      <c r="H851" s="118"/>
      <c r="I851" s="119"/>
      <c r="J851" s="119"/>
      <c r="K851" s="35"/>
    </row>
    <row r="852">
      <c r="B852" s="116"/>
      <c r="G852" s="167"/>
      <c r="H852" s="118"/>
      <c r="I852" s="119"/>
      <c r="J852" s="119"/>
      <c r="K852" s="35"/>
    </row>
    <row r="853">
      <c r="B853" s="116"/>
      <c r="G853" s="167"/>
      <c r="H853" s="118"/>
      <c r="I853" s="119"/>
      <c r="J853" s="119"/>
      <c r="K853" s="35"/>
    </row>
    <row r="854">
      <c r="B854" s="116"/>
      <c r="G854" s="167"/>
      <c r="H854" s="118"/>
      <c r="I854" s="119"/>
      <c r="J854" s="119"/>
      <c r="K854" s="35"/>
    </row>
    <row r="855">
      <c r="B855" s="116"/>
      <c r="G855" s="167"/>
      <c r="H855" s="118"/>
      <c r="I855" s="119"/>
      <c r="J855" s="119"/>
      <c r="K855" s="35"/>
    </row>
    <row r="856">
      <c r="B856" s="116"/>
      <c r="G856" s="167"/>
      <c r="H856" s="118"/>
      <c r="I856" s="119"/>
      <c r="J856" s="119"/>
      <c r="K856" s="35"/>
    </row>
    <row r="857">
      <c r="B857" s="116"/>
      <c r="G857" s="167"/>
      <c r="H857" s="118"/>
      <c r="I857" s="119"/>
      <c r="J857" s="119"/>
      <c r="K857" s="35"/>
    </row>
    <row r="858">
      <c r="B858" s="116"/>
      <c r="G858" s="167"/>
      <c r="H858" s="118"/>
      <c r="I858" s="119"/>
      <c r="J858" s="119"/>
      <c r="K858" s="35"/>
    </row>
    <row r="859">
      <c r="B859" s="116"/>
      <c r="G859" s="167"/>
      <c r="H859" s="118"/>
      <c r="I859" s="119"/>
      <c r="J859" s="119"/>
      <c r="K859" s="35"/>
    </row>
    <row r="860">
      <c r="B860" s="116"/>
      <c r="G860" s="167"/>
      <c r="H860" s="118"/>
      <c r="I860" s="119"/>
      <c r="J860" s="119"/>
      <c r="K860" s="35"/>
    </row>
    <row r="861">
      <c r="B861" s="116"/>
      <c r="G861" s="167"/>
      <c r="H861" s="118"/>
      <c r="I861" s="119"/>
      <c r="J861" s="119"/>
      <c r="K861" s="35"/>
    </row>
    <row r="862">
      <c r="B862" s="116"/>
      <c r="G862" s="167"/>
      <c r="H862" s="118"/>
      <c r="I862" s="119"/>
      <c r="J862" s="119"/>
      <c r="K862" s="35"/>
    </row>
    <row r="863">
      <c r="B863" s="116"/>
      <c r="G863" s="167"/>
      <c r="H863" s="118"/>
      <c r="I863" s="119"/>
      <c r="J863" s="119"/>
      <c r="K863" s="35"/>
    </row>
    <row r="864">
      <c r="B864" s="116"/>
      <c r="G864" s="167"/>
      <c r="H864" s="118"/>
      <c r="I864" s="119"/>
      <c r="J864" s="119"/>
      <c r="K864" s="35"/>
    </row>
    <row r="865">
      <c r="B865" s="116"/>
      <c r="G865" s="167"/>
      <c r="H865" s="118"/>
      <c r="I865" s="119"/>
      <c r="J865" s="119"/>
      <c r="K865" s="35"/>
    </row>
    <row r="866">
      <c r="B866" s="116"/>
      <c r="G866" s="167"/>
      <c r="H866" s="118"/>
      <c r="I866" s="119"/>
      <c r="J866" s="119"/>
      <c r="K866" s="35"/>
    </row>
    <row r="867">
      <c r="B867" s="116"/>
      <c r="G867" s="167"/>
      <c r="H867" s="118"/>
      <c r="I867" s="119"/>
      <c r="J867" s="119"/>
      <c r="K867" s="35"/>
    </row>
    <row r="868">
      <c r="B868" s="116"/>
      <c r="G868" s="167"/>
      <c r="H868" s="118"/>
      <c r="I868" s="119"/>
      <c r="J868" s="119"/>
      <c r="K868" s="35"/>
    </row>
    <row r="869">
      <c r="B869" s="116"/>
      <c r="G869" s="167"/>
      <c r="H869" s="118"/>
      <c r="I869" s="119"/>
      <c r="J869" s="119"/>
      <c r="K869" s="35"/>
    </row>
    <row r="870">
      <c r="B870" s="116"/>
      <c r="G870" s="167"/>
      <c r="H870" s="118"/>
      <c r="I870" s="119"/>
      <c r="J870" s="119"/>
      <c r="K870" s="35"/>
    </row>
    <row r="871">
      <c r="B871" s="116"/>
      <c r="G871" s="167"/>
      <c r="H871" s="118"/>
      <c r="I871" s="119"/>
      <c r="J871" s="119"/>
      <c r="K871" s="35"/>
    </row>
    <row r="872">
      <c r="B872" s="116"/>
      <c r="G872" s="167"/>
      <c r="H872" s="118"/>
      <c r="I872" s="119"/>
      <c r="J872" s="119"/>
      <c r="K872" s="35"/>
    </row>
    <row r="873">
      <c r="B873" s="116"/>
      <c r="G873" s="167"/>
      <c r="H873" s="118"/>
      <c r="I873" s="119"/>
      <c r="J873" s="119"/>
      <c r="K873" s="35"/>
    </row>
    <row r="874">
      <c r="B874" s="116"/>
      <c r="G874" s="167"/>
      <c r="H874" s="118"/>
      <c r="I874" s="119"/>
      <c r="J874" s="119"/>
      <c r="K874" s="35"/>
    </row>
    <row r="875">
      <c r="B875" s="116"/>
      <c r="G875" s="167"/>
      <c r="H875" s="118"/>
      <c r="I875" s="119"/>
      <c r="J875" s="119"/>
      <c r="K875" s="35"/>
    </row>
    <row r="876">
      <c r="B876" s="116"/>
      <c r="G876" s="167"/>
      <c r="H876" s="118"/>
      <c r="I876" s="119"/>
      <c r="J876" s="119"/>
      <c r="K876" s="35"/>
    </row>
    <row r="877">
      <c r="B877" s="116"/>
      <c r="G877" s="167"/>
      <c r="H877" s="118"/>
      <c r="I877" s="119"/>
      <c r="J877" s="119"/>
      <c r="K877" s="35"/>
    </row>
    <row r="878">
      <c r="B878" s="116"/>
      <c r="G878" s="167"/>
      <c r="H878" s="118"/>
      <c r="I878" s="119"/>
      <c r="J878" s="119"/>
      <c r="K878" s="35"/>
    </row>
    <row r="879">
      <c r="B879" s="116"/>
      <c r="G879" s="167"/>
      <c r="H879" s="118"/>
      <c r="I879" s="119"/>
      <c r="J879" s="119"/>
      <c r="K879" s="35"/>
    </row>
    <row r="880">
      <c r="B880" s="116"/>
      <c r="G880" s="167"/>
      <c r="H880" s="118"/>
      <c r="I880" s="119"/>
      <c r="J880" s="119"/>
      <c r="K880" s="35"/>
    </row>
    <row r="881">
      <c r="B881" s="116"/>
      <c r="G881" s="167"/>
      <c r="H881" s="118"/>
      <c r="I881" s="119"/>
      <c r="J881" s="119"/>
      <c r="K881" s="35"/>
    </row>
    <row r="882">
      <c r="B882" s="116"/>
      <c r="G882" s="167"/>
      <c r="H882" s="118"/>
      <c r="I882" s="119"/>
      <c r="J882" s="119"/>
      <c r="K882" s="35"/>
    </row>
    <row r="883">
      <c r="B883" s="116"/>
      <c r="G883" s="167"/>
      <c r="H883" s="118"/>
      <c r="I883" s="119"/>
      <c r="J883" s="119"/>
      <c r="K883" s="35"/>
    </row>
    <row r="884">
      <c r="B884" s="116"/>
      <c r="G884" s="167"/>
      <c r="H884" s="118"/>
      <c r="I884" s="119"/>
      <c r="J884" s="119"/>
      <c r="K884" s="35"/>
    </row>
    <row r="885">
      <c r="B885" s="116"/>
      <c r="G885" s="167"/>
      <c r="H885" s="118"/>
      <c r="I885" s="119"/>
      <c r="J885" s="119"/>
      <c r="K885" s="35"/>
    </row>
    <row r="886">
      <c r="B886" s="116"/>
      <c r="G886" s="167"/>
      <c r="H886" s="118"/>
      <c r="I886" s="119"/>
      <c r="J886" s="119"/>
      <c r="K886" s="35"/>
    </row>
    <row r="887">
      <c r="B887" s="116"/>
      <c r="G887" s="167"/>
      <c r="H887" s="118"/>
      <c r="I887" s="119"/>
      <c r="J887" s="119"/>
      <c r="K887" s="35"/>
    </row>
    <row r="888">
      <c r="B888" s="116"/>
      <c r="G888" s="167"/>
      <c r="H888" s="118"/>
      <c r="I888" s="119"/>
      <c r="J888" s="119"/>
      <c r="K888" s="35"/>
    </row>
    <row r="889">
      <c r="B889" s="116"/>
      <c r="G889" s="167"/>
      <c r="H889" s="118"/>
      <c r="I889" s="119"/>
      <c r="J889" s="119"/>
      <c r="K889" s="35"/>
    </row>
    <row r="890">
      <c r="B890" s="116"/>
      <c r="G890" s="167"/>
      <c r="H890" s="118"/>
      <c r="I890" s="119"/>
      <c r="J890" s="119"/>
      <c r="K890" s="35"/>
    </row>
    <row r="891">
      <c r="B891" s="116"/>
      <c r="G891" s="167"/>
      <c r="H891" s="118"/>
      <c r="I891" s="119"/>
      <c r="J891" s="119"/>
      <c r="K891" s="35"/>
    </row>
    <row r="892">
      <c r="B892" s="116"/>
      <c r="G892" s="167"/>
      <c r="H892" s="118"/>
      <c r="I892" s="119"/>
      <c r="J892" s="119"/>
      <c r="K892" s="35"/>
    </row>
    <row r="893">
      <c r="B893" s="116"/>
      <c r="G893" s="167"/>
      <c r="H893" s="118"/>
      <c r="I893" s="119"/>
      <c r="J893" s="119"/>
      <c r="K893" s="35"/>
    </row>
    <row r="894">
      <c r="B894" s="116"/>
      <c r="G894" s="167"/>
      <c r="H894" s="118"/>
      <c r="I894" s="119"/>
      <c r="J894" s="119"/>
      <c r="K894" s="35"/>
    </row>
    <row r="895">
      <c r="B895" s="116"/>
      <c r="G895" s="167"/>
      <c r="H895" s="118"/>
      <c r="I895" s="119"/>
      <c r="J895" s="119"/>
      <c r="K895" s="35"/>
    </row>
    <row r="896">
      <c r="B896" s="116"/>
      <c r="G896" s="167"/>
      <c r="H896" s="118"/>
      <c r="I896" s="119"/>
      <c r="J896" s="119"/>
      <c r="K896" s="35"/>
    </row>
    <row r="897">
      <c r="B897" s="116"/>
      <c r="G897" s="167"/>
      <c r="H897" s="118"/>
      <c r="I897" s="119"/>
      <c r="J897" s="119"/>
      <c r="K897" s="35"/>
    </row>
    <row r="898">
      <c r="B898" s="116"/>
      <c r="G898" s="167"/>
      <c r="H898" s="118"/>
      <c r="I898" s="119"/>
      <c r="J898" s="119"/>
      <c r="K898" s="35"/>
    </row>
    <row r="899">
      <c r="B899" s="116"/>
      <c r="G899" s="167"/>
      <c r="H899" s="118"/>
      <c r="I899" s="119"/>
      <c r="J899" s="119"/>
      <c r="K899" s="35"/>
    </row>
    <row r="900">
      <c r="B900" s="116"/>
      <c r="G900" s="167"/>
      <c r="H900" s="118"/>
      <c r="I900" s="119"/>
      <c r="J900" s="119"/>
      <c r="K900" s="35"/>
    </row>
    <row r="901">
      <c r="B901" s="116"/>
      <c r="G901" s="167"/>
      <c r="H901" s="118"/>
      <c r="I901" s="119"/>
      <c r="J901" s="119"/>
      <c r="K901" s="35"/>
    </row>
    <row r="902">
      <c r="B902" s="116"/>
      <c r="G902" s="167"/>
      <c r="H902" s="118"/>
      <c r="I902" s="119"/>
      <c r="J902" s="119"/>
      <c r="K902" s="35"/>
    </row>
    <row r="903">
      <c r="B903" s="116"/>
      <c r="G903" s="167"/>
      <c r="H903" s="118"/>
      <c r="I903" s="119"/>
      <c r="J903" s="119"/>
      <c r="K903" s="35"/>
    </row>
    <row r="904">
      <c r="B904" s="116"/>
      <c r="G904" s="167"/>
      <c r="H904" s="118"/>
      <c r="I904" s="119"/>
      <c r="J904" s="119"/>
      <c r="K904" s="35"/>
    </row>
    <row r="905">
      <c r="B905" s="116"/>
      <c r="G905" s="167"/>
      <c r="H905" s="118"/>
      <c r="I905" s="119"/>
      <c r="J905" s="119"/>
      <c r="K905" s="35"/>
    </row>
    <row r="906">
      <c r="B906" s="116"/>
      <c r="G906" s="167"/>
      <c r="H906" s="118"/>
      <c r="I906" s="119"/>
      <c r="J906" s="119"/>
      <c r="K906" s="35"/>
    </row>
    <row r="907">
      <c r="B907" s="116"/>
      <c r="G907" s="167"/>
      <c r="H907" s="118"/>
      <c r="I907" s="119"/>
      <c r="J907" s="119"/>
      <c r="K907" s="35"/>
    </row>
    <row r="908">
      <c r="B908" s="116"/>
      <c r="G908" s="167"/>
      <c r="H908" s="118"/>
      <c r="I908" s="119"/>
      <c r="J908" s="119"/>
      <c r="K908" s="35"/>
    </row>
    <row r="909">
      <c r="B909" s="116"/>
      <c r="G909" s="167"/>
      <c r="H909" s="118"/>
      <c r="I909" s="119"/>
      <c r="J909" s="119"/>
      <c r="K909" s="35"/>
    </row>
    <row r="910">
      <c r="B910" s="116"/>
      <c r="G910" s="167"/>
      <c r="H910" s="118"/>
      <c r="I910" s="119"/>
      <c r="J910" s="119"/>
      <c r="K910" s="35"/>
    </row>
    <row r="911">
      <c r="B911" s="116"/>
      <c r="G911" s="167"/>
      <c r="H911" s="118"/>
      <c r="I911" s="119"/>
      <c r="J911" s="119"/>
      <c r="K911" s="35"/>
    </row>
    <row r="912">
      <c r="B912" s="116"/>
      <c r="G912" s="167"/>
      <c r="H912" s="118"/>
      <c r="I912" s="119"/>
      <c r="J912" s="119"/>
      <c r="K912" s="35"/>
    </row>
    <row r="913">
      <c r="B913" s="116"/>
      <c r="G913" s="167"/>
      <c r="H913" s="118"/>
      <c r="I913" s="119"/>
      <c r="J913" s="119"/>
      <c r="K913" s="35"/>
    </row>
    <row r="914">
      <c r="B914" s="116"/>
      <c r="G914" s="167"/>
      <c r="H914" s="118"/>
      <c r="I914" s="119"/>
      <c r="J914" s="119"/>
      <c r="K914" s="35"/>
    </row>
    <row r="915">
      <c r="B915" s="116"/>
      <c r="G915" s="167"/>
      <c r="H915" s="118"/>
      <c r="I915" s="119"/>
      <c r="J915" s="119"/>
      <c r="K915" s="35"/>
    </row>
    <row r="916">
      <c r="B916" s="116"/>
      <c r="G916" s="167"/>
      <c r="H916" s="118"/>
      <c r="I916" s="119"/>
      <c r="J916" s="119"/>
      <c r="K916" s="35"/>
    </row>
    <row r="917">
      <c r="B917" s="116"/>
      <c r="G917" s="167"/>
      <c r="H917" s="118"/>
      <c r="I917" s="119"/>
      <c r="J917" s="119"/>
      <c r="K917" s="35"/>
    </row>
    <row r="918">
      <c r="B918" s="116"/>
      <c r="G918" s="167"/>
      <c r="H918" s="118"/>
      <c r="I918" s="119"/>
      <c r="J918" s="119"/>
      <c r="K918" s="35"/>
    </row>
    <row r="919">
      <c r="B919" s="116"/>
      <c r="G919" s="167"/>
      <c r="H919" s="118"/>
      <c r="I919" s="119"/>
      <c r="J919" s="119"/>
      <c r="K919" s="35"/>
    </row>
    <row r="920">
      <c r="B920" s="116"/>
      <c r="G920" s="167"/>
      <c r="H920" s="118"/>
      <c r="I920" s="119"/>
      <c r="J920" s="119"/>
      <c r="K920" s="35"/>
    </row>
    <row r="921">
      <c r="B921" s="116"/>
      <c r="G921" s="167"/>
      <c r="H921" s="118"/>
      <c r="I921" s="119"/>
      <c r="J921" s="119"/>
      <c r="K921" s="35"/>
    </row>
    <row r="922">
      <c r="B922" s="116"/>
      <c r="G922" s="167"/>
      <c r="H922" s="118"/>
      <c r="I922" s="119"/>
      <c r="J922" s="119"/>
      <c r="K922" s="35"/>
    </row>
    <row r="923">
      <c r="B923" s="116"/>
      <c r="G923" s="167"/>
      <c r="H923" s="118"/>
      <c r="I923" s="119"/>
      <c r="J923" s="119"/>
      <c r="K923" s="35"/>
    </row>
    <row r="924">
      <c r="B924" s="116"/>
      <c r="G924" s="167"/>
      <c r="H924" s="118"/>
      <c r="I924" s="119"/>
      <c r="J924" s="119"/>
      <c r="K924" s="35"/>
    </row>
    <row r="925">
      <c r="B925" s="116"/>
      <c r="G925" s="167"/>
      <c r="H925" s="118"/>
      <c r="I925" s="119"/>
      <c r="J925" s="119"/>
      <c r="K925" s="35"/>
    </row>
    <row r="926">
      <c r="B926" s="116"/>
      <c r="G926" s="167"/>
      <c r="H926" s="118"/>
      <c r="I926" s="119"/>
      <c r="J926" s="119"/>
      <c r="K926" s="35"/>
    </row>
    <row r="927">
      <c r="B927" s="116"/>
      <c r="G927" s="167"/>
      <c r="H927" s="118"/>
      <c r="I927" s="119"/>
      <c r="J927" s="119"/>
      <c r="K927" s="35"/>
    </row>
    <row r="928">
      <c r="B928" s="116"/>
      <c r="G928" s="167"/>
      <c r="H928" s="118"/>
      <c r="I928" s="119"/>
      <c r="J928" s="119"/>
      <c r="K928" s="35"/>
    </row>
    <row r="929">
      <c r="B929" s="116"/>
      <c r="G929" s="167"/>
      <c r="H929" s="118"/>
      <c r="I929" s="119"/>
      <c r="J929" s="119"/>
      <c r="K929" s="35"/>
    </row>
    <row r="930">
      <c r="B930" s="116"/>
      <c r="G930" s="167"/>
      <c r="H930" s="118"/>
      <c r="I930" s="119"/>
      <c r="J930" s="119"/>
      <c r="K930" s="35"/>
    </row>
    <row r="931">
      <c r="B931" s="116"/>
      <c r="G931" s="167"/>
      <c r="H931" s="118"/>
      <c r="I931" s="119"/>
      <c r="J931" s="119"/>
      <c r="K931" s="35"/>
    </row>
    <row r="932">
      <c r="B932" s="116"/>
      <c r="G932" s="167"/>
      <c r="H932" s="118"/>
      <c r="I932" s="119"/>
      <c r="J932" s="119"/>
      <c r="K932" s="35"/>
    </row>
    <row r="933">
      <c r="B933" s="116"/>
      <c r="G933" s="167"/>
      <c r="H933" s="118"/>
      <c r="I933" s="119"/>
      <c r="J933" s="119"/>
      <c r="K933" s="35"/>
    </row>
    <row r="934">
      <c r="B934" s="116"/>
      <c r="G934" s="167"/>
      <c r="H934" s="118"/>
      <c r="I934" s="119"/>
      <c r="J934" s="119"/>
      <c r="K934" s="35"/>
    </row>
    <row r="935">
      <c r="B935" s="116"/>
      <c r="G935" s="167"/>
      <c r="H935" s="118"/>
      <c r="I935" s="119"/>
      <c r="J935" s="119"/>
      <c r="K935" s="35"/>
    </row>
    <row r="936">
      <c r="B936" s="116"/>
      <c r="G936" s="167"/>
      <c r="H936" s="118"/>
      <c r="I936" s="119"/>
      <c r="J936" s="119"/>
      <c r="K936" s="35"/>
    </row>
    <row r="937">
      <c r="B937" s="116"/>
      <c r="G937" s="167"/>
      <c r="H937" s="118"/>
      <c r="I937" s="119"/>
      <c r="J937" s="119"/>
      <c r="K937" s="35"/>
    </row>
    <row r="938">
      <c r="B938" s="116"/>
      <c r="G938" s="167"/>
      <c r="H938" s="118"/>
      <c r="I938" s="119"/>
      <c r="J938" s="119"/>
      <c r="K938" s="35"/>
    </row>
    <row r="939">
      <c r="B939" s="116"/>
      <c r="G939" s="167"/>
      <c r="H939" s="118"/>
      <c r="I939" s="119"/>
      <c r="J939" s="119"/>
      <c r="K939" s="35"/>
    </row>
    <row r="940">
      <c r="B940" s="116"/>
      <c r="G940" s="167"/>
      <c r="H940" s="118"/>
      <c r="I940" s="119"/>
      <c r="J940" s="119"/>
      <c r="K940" s="35"/>
    </row>
    <row r="941">
      <c r="B941" s="116"/>
      <c r="G941" s="167"/>
      <c r="H941" s="118"/>
      <c r="I941" s="119"/>
      <c r="J941" s="119"/>
      <c r="K941" s="35"/>
    </row>
    <row r="942">
      <c r="B942" s="116"/>
      <c r="G942" s="167"/>
      <c r="H942" s="118"/>
      <c r="I942" s="119"/>
      <c r="J942" s="119"/>
      <c r="K942" s="35"/>
    </row>
    <row r="943">
      <c r="B943" s="116"/>
      <c r="G943" s="167"/>
      <c r="H943" s="118"/>
      <c r="I943" s="119"/>
      <c r="J943" s="119"/>
      <c r="K943" s="35"/>
    </row>
    <row r="944">
      <c r="B944" s="116"/>
      <c r="G944" s="167"/>
      <c r="H944" s="118"/>
      <c r="I944" s="119"/>
      <c r="J944" s="119"/>
      <c r="K944" s="35"/>
    </row>
    <row r="945">
      <c r="B945" s="116"/>
      <c r="G945" s="167"/>
      <c r="H945" s="118"/>
      <c r="I945" s="119"/>
      <c r="J945" s="119"/>
      <c r="K945" s="35"/>
    </row>
    <row r="946">
      <c r="B946" s="116"/>
      <c r="G946" s="167"/>
      <c r="H946" s="118"/>
      <c r="I946" s="119"/>
      <c r="J946" s="119"/>
      <c r="K946" s="35"/>
    </row>
    <row r="947">
      <c r="B947" s="116"/>
      <c r="G947" s="167"/>
      <c r="H947" s="118"/>
      <c r="I947" s="119"/>
      <c r="J947" s="119"/>
      <c r="K947" s="35"/>
    </row>
    <row r="948">
      <c r="B948" s="116"/>
      <c r="G948" s="167"/>
      <c r="H948" s="118"/>
      <c r="I948" s="119"/>
      <c r="J948" s="119"/>
      <c r="K948" s="35"/>
    </row>
    <row r="949">
      <c r="B949" s="116"/>
      <c r="G949" s="167"/>
      <c r="H949" s="118"/>
      <c r="I949" s="119"/>
      <c r="J949" s="119"/>
      <c r="K949" s="35"/>
    </row>
    <row r="950">
      <c r="B950" s="116"/>
      <c r="G950" s="167"/>
      <c r="H950" s="118"/>
      <c r="I950" s="119"/>
      <c r="J950" s="119"/>
      <c r="K950" s="35"/>
    </row>
    <row r="951">
      <c r="B951" s="116"/>
      <c r="G951" s="167"/>
      <c r="H951" s="118"/>
      <c r="I951" s="119"/>
      <c r="J951" s="119"/>
      <c r="K951" s="35"/>
    </row>
    <row r="952">
      <c r="B952" s="116"/>
      <c r="G952" s="167"/>
      <c r="H952" s="118"/>
      <c r="I952" s="119"/>
      <c r="J952" s="119"/>
      <c r="K952" s="35"/>
    </row>
    <row r="953">
      <c r="B953" s="116"/>
      <c r="G953" s="167"/>
      <c r="H953" s="118"/>
      <c r="I953" s="119"/>
      <c r="J953" s="119"/>
      <c r="K953" s="35"/>
    </row>
    <row r="954">
      <c r="B954" s="116"/>
      <c r="G954" s="167"/>
      <c r="H954" s="118"/>
      <c r="I954" s="119"/>
      <c r="J954" s="119"/>
      <c r="K954" s="35"/>
    </row>
    <row r="955">
      <c r="B955" s="116"/>
      <c r="G955" s="167"/>
      <c r="H955" s="118"/>
      <c r="I955" s="119"/>
      <c r="J955" s="119"/>
      <c r="K955" s="35"/>
    </row>
    <row r="956">
      <c r="B956" s="116"/>
      <c r="G956" s="167"/>
      <c r="H956" s="118"/>
      <c r="I956" s="119"/>
      <c r="J956" s="119"/>
      <c r="K956" s="35"/>
    </row>
    <row r="957">
      <c r="B957" s="116"/>
      <c r="G957" s="167"/>
      <c r="H957" s="118"/>
      <c r="I957" s="119"/>
      <c r="J957" s="119"/>
      <c r="K957" s="35"/>
    </row>
    <row r="958">
      <c r="B958" s="116"/>
      <c r="G958" s="167"/>
      <c r="H958" s="118"/>
      <c r="I958" s="119"/>
      <c r="J958" s="119"/>
      <c r="K958" s="35"/>
    </row>
    <row r="959">
      <c r="B959" s="116"/>
      <c r="G959" s="167"/>
      <c r="H959" s="118"/>
      <c r="I959" s="119"/>
      <c r="J959" s="119"/>
      <c r="K959" s="35"/>
    </row>
    <row r="960">
      <c r="B960" s="116"/>
      <c r="G960" s="167"/>
      <c r="H960" s="118"/>
      <c r="I960" s="119"/>
      <c r="J960" s="119"/>
      <c r="K960" s="35"/>
    </row>
    <row r="961">
      <c r="B961" s="116"/>
      <c r="G961" s="167"/>
      <c r="H961" s="118"/>
      <c r="I961" s="119"/>
      <c r="J961" s="119"/>
      <c r="K961" s="35"/>
    </row>
    <row r="962">
      <c r="B962" s="116"/>
      <c r="G962" s="167"/>
      <c r="H962" s="118"/>
      <c r="I962" s="119"/>
      <c r="J962" s="119"/>
      <c r="K962" s="35"/>
    </row>
    <row r="963">
      <c r="B963" s="116"/>
      <c r="G963" s="167"/>
      <c r="H963" s="118"/>
      <c r="I963" s="119"/>
      <c r="J963" s="119"/>
      <c r="K963" s="35"/>
    </row>
    <row r="964">
      <c r="B964" s="116"/>
      <c r="G964" s="167"/>
      <c r="H964" s="118"/>
      <c r="I964" s="119"/>
      <c r="J964" s="119"/>
      <c r="K964" s="35"/>
    </row>
    <row r="965">
      <c r="B965" s="116"/>
      <c r="G965" s="167"/>
      <c r="H965" s="118"/>
      <c r="I965" s="119"/>
      <c r="J965" s="119"/>
      <c r="K965" s="35"/>
    </row>
    <row r="966">
      <c r="B966" s="116"/>
      <c r="G966" s="167"/>
      <c r="H966" s="118"/>
      <c r="I966" s="119"/>
      <c r="J966" s="119"/>
      <c r="K966" s="35"/>
    </row>
    <row r="967">
      <c r="B967" s="116"/>
      <c r="G967" s="167"/>
      <c r="H967" s="118"/>
      <c r="I967" s="119"/>
      <c r="J967" s="119"/>
      <c r="K967" s="35"/>
    </row>
    <row r="968">
      <c r="B968" s="116"/>
      <c r="G968" s="167"/>
      <c r="H968" s="118"/>
      <c r="I968" s="119"/>
      <c r="J968" s="119"/>
      <c r="K968" s="35"/>
    </row>
    <row r="969">
      <c r="B969" s="116"/>
      <c r="G969" s="167"/>
      <c r="H969" s="118"/>
      <c r="I969" s="119"/>
      <c r="J969" s="119"/>
      <c r="K969" s="35"/>
    </row>
    <row r="970">
      <c r="B970" s="116"/>
      <c r="G970" s="167"/>
      <c r="H970" s="118"/>
      <c r="I970" s="119"/>
      <c r="J970" s="119"/>
      <c r="K970" s="35"/>
    </row>
    <row r="971">
      <c r="B971" s="116"/>
      <c r="G971" s="167"/>
      <c r="H971" s="118"/>
      <c r="I971" s="119"/>
      <c r="J971" s="119"/>
      <c r="K971" s="35"/>
    </row>
    <row r="972">
      <c r="B972" s="116"/>
      <c r="G972" s="167"/>
      <c r="H972" s="118"/>
      <c r="I972" s="119"/>
      <c r="J972" s="119"/>
      <c r="K972" s="35"/>
    </row>
    <row r="973">
      <c r="B973" s="116"/>
      <c r="G973" s="167"/>
      <c r="H973" s="118"/>
      <c r="I973" s="119"/>
      <c r="J973" s="119"/>
      <c r="K973" s="35"/>
    </row>
    <row r="974">
      <c r="B974" s="116"/>
      <c r="G974" s="167"/>
      <c r="H974" s="118"/>
      <c r="I974" s="119"/>
      <c r="J974" s="119"/>
      <c r="K974" s="35"/>
    </row>
    <row r="975">
      <c r="B975" s="116"/>
      <c r="G975" s="167"/>
      <c r="H975" s="118"/>
      <c r="I975" s="119"/>
      <c r="J975" s="119"/>
      <c r="K975" s="35"/>
    </row>
    <row r="976">
      <c r="B976" s="116"/>
      <c r="G976" s="167"/>
      <c r="H976" s="118"/>
      <c r="I976" s="119"/>
      <c r="J976" s="119"/>
      <c r="K976" s="35"/>
    </row>
    <row r="977">
      <c r="B977" s="116"/>
      <c r="G977" s="167"/>
      <c r="H977" s="118"/>
      <c r="I977" s="119"/>
      <c r="J977" s="119"/>
      <c r="K977" s="35"/>
    </row>
    <row r="978">
      <c r="B978" s="116"/>
      <c r="G978" s="167"/>
      <c r="H978" s="118"/>
      <c r="I978" s="119"/>
      <c r="J978" s="119"/>
      <c r="K978" s="35"/>
    </row>
    <row r="979">
      <c r="B979" s="116"/>
      <c r="G979" s="167"/>
      <c r="H979" s="118"/>
      <c r="I979" s="119"/>
      <c r="J979" s="119"/>
      <c r="K979" s="35"/>
    </row>
    <row r="980">
      <c r="B980" s="116"/>
      <c r="G980" s="167"/>
      <c r="H980" s="118"/>
      <c r="I980" s="119"/>
      <c r="J980" s="119"/>
      <c r="K980" s="35"/>
    </row>
    <row r="981">
      <c r="B981" s="116"/>
      <c r="G981" s="167"/>
      <c r="H981" s="118"/>
      <c r="I981" s="119"/>
      <c r="J981" s="119"/>
      <c r="K981" s="35"/>
    </row>
    <row r="982">
      <c r="B982" s="116"/>
      <c r="G982" s="167"/>
      <c r="H982" s="118"/>
      <c r="I982" s="119"/>
      <c r="J982" s="119"/>
      <c r="K982" s="35"/>
    </row>
    <row r="983">
      <c r="B983" s="116"/>
      <c r="G983" s="167"/>
      <c r="H983" s="118"/>
      <c r="I983" s="119"/>
      <c r="J983" s="119"/>
      <c r="K983" s="35"/>
    </row>
    <row r="984">
      <c r="B984" s="116"/>
      <c r="G984" s="167"/>
      <c r="H984" s="118"/>
      <c r="I984" s="119"/>
      <c r="J984" s="119"/>
      <c r="K984" s="35"/>
    </row>
    <row r="985">
      <c r="B985" s="116"/>
      <c r="G985" s="167"/>
      <c r="H985" s="118"/>
      <c r="I985" s="119"/>
      <c r="J985" s="119"/>
      <c r="K985" s="35"/>
    </row>
    <row r="986">
      <c r="B986" s="116"/>
      <c r="G986" s="167"/>
      <c r="H986" s="118"/>
      <c r="I986" s="119"/>
      <c r="J986" s="119"/>
      <c r="K986" s="35"/>
    </row>
    <row r="987">
      <c r="B987" s="116"/>
      <c r="G987" s="167"/>
      <c r="H987" s="118"/>
      <c r="I987" s="119"/>
      <c r="J987" s="119"/>
      <c r="K987" s="35"/>
    </row>
    <row r="988">
      <c r="B988" s="116"/>
      <c r="G988" s="167"/>
      <c r="H988" s="118"/>
      <c r="I988" s="119"/>
      <c r="J988" s="119"/>
      <c r="K988" s="35"/>
    </row>
    <row r="989">
      <c r="B989" s="116"/>
      <c r="G989" s="167"/>
      <c r="H989" s="118"/>
      <c r="I989" s="119"/>
      <c r="J989" s="119"/>
      <c r="K989" s="35"/>
    </row>
    <row r="990">
      <c r="B990" s="116"/>
      <c r="G990" s="167"/>
      <c r="H990" s="118"/>
      <c r="I990" s="119"/>
      <c r="J990" s="119"/>
      <c r="K990" s="35"/>
    </row>
    <row r="991">
      <c r="B991" s="116"/>
      <c r="G991" s="167"/>
      <c r="H991" s="118"/>
      <c r="I991" s="119"/>
      <c r="J991" s="119"/>
      <c r="K991" s="35"/>
    </row>
    <row r="992">
      <c r="B992" s="116"/>
      <c r="G992" s="167"/>
      <c r="H992" s="118"/>
      <c r="I992" s="119"/>
      <c r="J992" s="119"/>
      <c r="K992" s="35"/>
    </row>
    <row r="993">
      <c r="B993" s="116"/>
      <c r="G993" s="167"/>
      <c r="H993" s="118"/>
      <c r="I993" s="119"/>
      <c r="J993" s="119"/>
      <c r="K993" s="35"/>
    </row>
    <row r="994">
      <c r="B994" s="116"/>
      <c r="G994" s="167"/>
      <c r="H994" s="118"/>
      <c r="I994" s="119"/>
      <c r="J994" s="119"/>
      <c r="K994" s="35"/>
    </row>
    <row r="995">
      <c r="B995" s="116"/>
      <c r="G995" s="167"/>
      <c r="H995" s="118"/>
      <c r="I995" s="119"/>
      <c r="J995" s="119"/>
      <c r="K995" s="35"/>
    </row>
    <row r="996">
      <c r="B996" s="116"/>
      <c r="G996" s="167"/>
      <c r="H996" s="118"/>
      <c r="I996" s="119"/>
      <c r="J996" s="119"/>
      <c r="K996" s="35"/>
    </row>
    <row r="997">
      <c r="B997" s="116"/>
      <c r="G997" s="167"/>
      <c r="H997" s="118"/>
      <c r="I997" s="119"/>
      <c r="J997" s="119"/>
      <c r="K997" s="35"/>
    </row>
    <row r="998">
      <c r="B998" s="116"/>
      <c r="G998" s="167"/>
      <c r="H998" s="118"/>
      <c r="I998" s="119"/>
      <c r="J998" s="119"/>
      <c r="K998" s="35"/>
    </row>
    <row r="999">
      <c r="B999" s="116"/>
      <c r="G999" s="167"/>
      <c r="H999" s="118"/>
      <c r="I999" s="119"/>
      <c r="J999" s="119"/>
      <c r="K999" s="35"/>
    </row>
    <row r="1000">
      <c r="B1000" s="116"/>
      <c r="G1000" s="167"/>
      <c r="H1000" s="118"/>
      <c r="I1000" s="119"/>
      <c r="J1000" s="119"/>
      <c r="K1000" s="35"/>
    </row>
    <row r="1001">
      <c r="B1001" s="116"/>
      <c r="G1001" s="167"/>
      <c r="H1001" s="118"/>
      <c r="I1001" s="119"/>
      <c r="J1001" s="119"/>
      <c r="K1001" s="35"/>
    </row>
    <row r="1002">
      <c r="B1002" s="116"/>
      <c r="G1002" s="167"/>
      <c r="H1002" s="118"/>
      <c r="I1002" s="119"/>
      <c r="J1002" s="119"/>
      <c r="K1002" s="35"/>
    </row>
    <row r="1003">
      <c r="B1003" s="116"/>
      <c r="G1003" s="167"/>
      <c r="H1003" s="118"/>
      <c r="I1003" s="119"/>
      <c r="J1003" s="119"/>
      <c r="K1003" s="35"/>
    </row>
    <row r="1004">
      <c r="B1004" s="116"/>
      <c r="G1004" s="167"/>
      <c r="H1004" s="118"/>
      <c r="I1004" s="119"/>
      <c r="J1004" s="119"/>
      <c r="K1004" s="35"/>
    </row>
    <row r="1005">
      <c r="B1005" s="116"/>
      <c r="G1005" s="167"/>
      <c r="H1005" s="118"/>
      <c r="I1005" s="119"/>
      <c r="J1005" s="119"/>
      <c r="K1005" s="35"/>
    </row>
    <row r="1006">
      <c r="B1006" s="116"/>
      <c r="G1006" s="167"/>
      <c r="H1006" s="118"/>
      <c r="I1006" s="119"/>
      <c r="J1006" s="119"/>
      <c r="K1006" s="35"/>
    </row>
    <row r="1007">
      <c r="B1007" s="116"/>
      <c r="G1007" s="167"/>
      <c r="H1007" s="118"/>
      <c r="I1007" s="119"/>
      <c r="J1007" s="119"/>
      <c r="K1007" s="35"/>
    </row>
    <row r="1008">
      <c r="B1008" s="116"/>
      <c r="G1008" s="167"/>
      <c r="H1008" s="118"/>
      <c r="I1008" s="119"/>
      <c r="J1008" s="119"/>
      <c r="K1008" s="35"/>
    </row>
    <row r="1009">
      <c r="B1009" s="116"/>
      <c r="G1009" s="167"/>
      <c r="H1009" s="118"/>
      <c r="I1009" s="119"/>
      <c r="J1009" s="119"/>
      <c r="K1009" s="35"/>
    </row>
    <row r="1010">
      <c r="B1010" s="116"/>
      <c r="G1010" s="167"/>
      <c r="H1010" s="118"/>
      <c r="I1010" s="119"/>
      <c r="J1010" s="119"/>
      <c r="K1010" s="35"/>
    </row>
    <row r="1011">
      <c r="B1011" s="116"/>
      <c r="G1011" s="167"/>
      <c r="H1011" s="118"/>
      <c r="I1011" s="119"/>
      <c r="J1011" s="119"/>
      <c r="K1011" s="35"/>
    </row>
    <row r="1012">
      <c r="B1012" s="116"/>
      <c r="G1012" s="167"/>
      <c r="H1012" s="118"/>
      <c r="I1012" s="119"/>
      <c r="J1012" s="119"/>
      <c r="K1012" s="35"/>
    </row>
    <row r="1013">
      <c r="B1013" s="116"/>
      <c r="G1013" s="167"/>
      <c r="H1013" s="118"/>
      <c r="I1013" s="119"/>
      <c r="J1013" s="119"/>
      <c r="K1013" s="35"/>
    </row>
    <row r="1014">
      <c r="B1014" s="116"/>
      <c r="G1014" s="167"/>
      <c r="H1014" s="118"/>
      <c r="I1014" s="119"/>
      <c r="J1014" s="119"/>
      <c r="K1014" s="35"/>
    </row>
    <row r="1015">
      <c r="B1015" s="116"/>
      <c r="G1015" s="167"/>
      <c r="H1015" s="118"/>
      <c r="I1015" s="119"/>
      <c r="J1015" s="119"/>
      <c r="K1015" s="35"/>
    </row>
    <row r="1016">
      <c r="B1016" s="116"/>
      <c r="G1016" s="167"/>
      <c r="H1016" s="118"/>
      <c r="I1016" s="119"/>
      <c r="J1016" s="119"/>
      <c r="K1016" s="35"/>
    </row>
    <row r="1017">
      <c r="B1017" s="116"/>
      <c r="G1017" s="167"/>
      <c r="H1017" s="118"/>
      <c r="I1017" s="119"/>
      <c r="J1017" s="119"/>
      <c r="K1017" s="35"/>
    </row>
    <row r="1018">
      <c r="B1018" s="116"/>
      <c r="G1018" s="167"/>
      <c r="H1018" s="118"/>
      <c r="I1018" s="119"/>
      <c r="J1018" s="119"/>
      <c r="K1018" s="35"/>
    </row>
    <row r="1019">
      <c r="B1019" s="116"/>
      <c r="G1019" s="167"/>
      <c r="H1019" s="118"/>
      <c r="I1019" s="119"/>
      <c r="J1019" s="119"/>
      <c r="K1019" s="35"/>
    </row>
    <row r="1020">
      <c r="B1020" s="116"/>
      <c r="G1020" s="167"/>
      <c r="H1020" s="118"/>
      <c r="I1020" s="119"/>
      <c r="J1020" s="119"/>
      <c r="K1020" s="35"/>
    </row>
    <row r="1021">
      <c r="B1021" s="116"/>
      <c r="G1021" s="167"/>
      <c r="H1021" s="118"/>
      <c r="I1021" s="119"/>
      <c r="J1021" s="119"/>
      <c r="K1021" s="35"/>
    </row>
    <row r="1022">
      <c r="B1022" s="116"/>
      <c r="G1022" s="167"/>
      <c r="H1022" s="118"/>
      <c r="I1022" s="119"/>
      <c r="J1022" s="119"/>
      <c r="K1022" s="35"/>
    </row>
    <row r="1023">
      <c r="B1023" s="116"/>
      <c r="G1023" s="167"/>
      <c r="H1023" s="118"/>
      <c r="I1023" s="119"/>
      <c r="J1023" s="119"/>
      <c r="K1023" s="35"/>
    </row>
    <row r="1024">
      <c r="B1024" s="116"/>
      <c r="G1024" s="167"/>
      <c r="H1024" s="118"/>
      <c r="I1024" s="119"/>
      <c r="J1024" s="119"/>
      <c r="K1024" s="35"/>
    </row>
    <row r="1025">
      <c r="B1025" s="116"/>
      <c r="G1025" s="167"/>
      <c r="H1025" s="118"/>
      <c r="I1025" s="119"/>
      <c r="J1025" s="119"/>
      <c r="K1025" s="35"/>
    </row>
    <row r="1026">
      <c r="B1026" s="116"/>
      <c r="G1026" s="167"/>
      <c r="H1026" s="118"/>
      <c r="I1026" s="119"/>
      <c r="J1026" s="119"/>
      <c r="K1026" s="35"/>
    </row>
    <row r="1027">
      <c r="B1027" s="116"/>
      <c r="G1027" s="167"/>
      <c r="H1027" s="118"/>
      <c r="I1027" s="119"/>
      <c r="J1027" s="119"/>
      <c r="K1027" s="35"/>
    </row>
  </sheetData>
  <autoFilter ref="$A$1:$J$1027"/>
  <hyperlinks>
    <hyperlink r:id="rId1" ref="N2"/>
    <hyperlink r:id="rId2" ref="N4"/>
    <hyperlink r:id="rId3" ref="N5"/>
    <hyperlink r:id="rId4" ref="N6"/>
    <hyperlink r:id="rId5" ref="N12"/>
    <hyperlink r:id="rId6" ref="N13"/>
    <hyperlink r:id="rId7" ref="N14"/>
    <hyperlink r:id="rId8" ref="N15"/>
    <hyperlink r:id="rId9" ref="N16"/>
    <hyperlink r:id="rId10" ref="N17"/>
    <hyperlink r:id="rId11" ref="N18"/>
    <hyperlink r:id="rId12" ref="N19"/>
    <hyperlink r:id="rId13" ref="N20"/>
    <hyperlink r:id="rId14" ref="N21"/>
    <hyperlink r:id="rId15" ref="N22"/>
    <hyperlink r:id="rId16" ref="N23"/>
    <hyperlink r:id="rId17" ref="N24"/>
    <hyperlink r:id="rId18" ref="N25"/>
    <hyperlink r:id="rId19" ref="N26"/>
    <hyperlink r:id="rId20" ref="N27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8.71"/>
    <col customWidth="1" hidden="1" min="2" max="2" width="31.14"/>
    <col customWidth="1" hidden="1" min="3" max="3" width="16.86"/>
    <col customWidth="1" min="4" max="4" width="28.14"/>
    <col customWidth="1" hidden="1" min="5" max="5" width="20.71"/>
    <col customWidth="1" min="6" max="6" width="20.29"/>
    <col customWidth="1" min="7" max="8" width="19.43"/>
    <col customWidth="1" min="9" max="9" width="58.29"/>
    <col customWidth="1" min="10" max="10" width="16.29"/>
    <col customWidth="1" min="11" max="11" width="21.86"/>
    <col customWidth="1" min="13" max="13" width="58.57"/>
    <col customWidth="1" min="14" max="14" width="20.43"/>
    <col customWidth="1" min="15" max="15" width="23.0"/>
  </cols>
  <sheetData>
    <row r="1" ht="43.5" customHeight="1">
      <c r="A1" s="9" t="s">
        <v>52</v>
      </c>
      <c r="B1" s="10" t="s">
        <v>53</v>
      </c>
      <c r="C1" s="11" t="s">
        <v>54</v>
      </c>
      <c r="D1" s="12" t="s">
        <v>55</v>
      </c>
      <c r="E1" s="13" t="s">
        <v>56</v>
      </c>
      <c r="F1" s="12" t="s">
        <v>57</v>
      </c>
      <c r="G1" s="15" t="s">
        <v>58</v>
      </c>
      <c r="H1" s="15" t="s">
        <v>59</v>
      </c>
      <c r="I1" s="17" t="s">
        <v>144</v>
      </c>
      <c r="J1" s="17" t="s">
        <v>61</v>
      </c>
      <c r="K1" s="18"/>
      <c r="L1" s="19" t="s">
        <v>62</v>
      </c>
      <c r="M1" s="19" t="s">
        <v>52</v>
      </c>
      <c r="N1" s="19" t="s">
        <v>63</v>
      </c>
      <c r="O1" s="20" t="s">
        <v>59</v>
      </c>
      <c r="P1" s="21"/>
      <c r="Q1" s="22" t="s">
        <v>64</v>
      </c>
      <c r="R1" s="23">
        <v>46155.0</v>
      </c>
      <c r="S1" s="22" t="s">
        <v>65</v>
      </c>
      <c r="T1" s="24" t="s">
        <v>152</v>
      </c>
      <c r="U1" s="25" t="s">
        <v>67</v>
      </c>
      <c r="V1" s="24">
        <v>769.0</v>
      </c>
      <c r="W1" s="21"/>
      <c r="X1" s="21"/>
      <c r="Y1" s="21"/>
      <c r="Z1" s="21"/>
    </row>
    <row r="2">
      <c r="A2" s="28" t="s">
        <v>2</v>
      </c>
      <c r="B2" s="27" t="s">
        <v>68</v>
      </c>
      <c r="C2" s="28" t="s">
        <v>58</v>
      </c>
      <c r="D2" s="29" t="s">
        <v>69</v>
      </c>
      <c r="E2" s="30" t="s">
        <v>70</v>
      </c>
      <c r="F2" s="135" t="s">
        <v>71</v>
      </c>
      <c r="G2" s="156">
        <f>SUMIFS('Abril Data'!C:C,'Abril Data'!A:A,B2,'Abril Data'!B:B,F2)</f>
        <v>4667178.39</v>
      </c>
      <c r="H2" s="32" t="str">
        <f>VLOOKUP(B2,'Abril Data'!A:D,4,FALSE)</f>
        <v>UESP1772</v>
      </c>
      <c r="I2" s="85" t="s">
        <v>68</v>
      </c>
      <c r="J2" s="85">
        <f>V1</f>
        <v>769</v>
      </c>
      <c r="K2" s="35"/>
      <c r="L2" s="36" t="b">
        <v>1</v>
      </c>
      <c r="M2" s="37" t="s">
        <v>2</v>
      </c>
      <c r="N2" s="38" t="s">
        <v>3</v>
      </c>
      <c r="O2" s="37"/>
    </row>
    <row r="3" hidden="1">
      <c r="A3" s="41" t="s">
        <v>2</v>
      </c>
      <c r="B3" s="40" t="s">
        <v>68</v>
      </c>
      <c r="C3" s="41" t="s">
        <v>72</v>
      </c>
      <c r="D3" s="42" t="s">
        <v>69</v>
      </c>
      <c r="E3" s="43" t="s">
        <v>70</v>
      </c>
      <c r="F3" s="56" t="s">
        <v>73</v>
      </c>
      <c r="G3" s="157">
        <f>SUMIFS('Abril Data'!C:C,'Abril Data'!A:A,B3,'Abril Data'!B:B,F3)</f>
        <v>186419.25</v>
      </c>
      <c r="H3" s="45" t="str">
        <f>VLOOKUP(B3,'Abril Data'!A:D,4,FALSE)</f>
        <v>UESP1772</v>
      </c>
      <c r="I3" s="89" t="s">
        <v>68</v>
      </c>
      <c r="J3" s="79"/>
      <c r="K3" s="35"/>
      <c r="L3" s="36" t="b">
        <v>1</v>
      </c>
      <c r="M3" s="127"/>
      <c r="N3" s="36"/>
      <c r="O3" s="37"/>
    </row>
    <row r="4" hidden="1">
      <c r="A4" s="50" t="s">
        <v>2</v>
      </c>
      <c r="B4" s="40" t="s">
        <v>68</v>
      </c>
      <c r="C4" s="41" t="s">
        <v>72</v>
      </c>
      <c r="D4" s="50" t="s">
        <v>69</v>
      </c>
      <c r="E4" s="51" t="s">
        <v>70</v>
      </c>
      <c r="F4" s="50" t="s">
        <v>74</v>
      </c>
      <c r="G4" s="158">
        <f>G2+G3</f>
        <v>4853597.64</v>
      </c>
      <c r="H4" s="53" t="str">
        <f>VLOOKUP(B4,'Abril Data'!A:D,4,FALSE)</f>
        <v>UESP1772</v>
      </c>
      <c r="I4" s="78"/>
      <c r="J4" s="78"/>
      <c r="K4" s="35"/>
      <c r="L4" s="36" t="b">
        <v>1</v>
      </c>
      <c r="M4" s="37" t="s">
        <v>4</v>
      </c>
      <c r="N4" s="38" t="s">
        <v>5</v>
      </c>
      <c r="O4" s="37"/>
    </row>
    <row r="5" hidden="1">
      <c r="A5" s="39" t="s">
        <v>2</v>
      </c>
      <c r="B5" s="40" t="s">
        <v>68</v>
      </c>
      <c r="C5" s="41" t="s">
        <v>59</v>
      </c>
      <c r="D5" s="56" t="s">
        <v>59</v>
      </c>
      <c r="E5" s="43" t="s">
        <v>70</v>
      </c>
      <c r="F5" s="41" t="s">
        <v>75</v>
      </c>
      <c r="G5" s="157">
        <f>G4*5%</f>
        <v>242679.882</v>
      </c>
      <c r="H5" s="45" t="str">
        <f>VLOOKUP(B5,'Abril Data'!A:D,4,FALSE)</f>
        <v>UESP1772</v>
      </c>
      <c r="I5" s="85" t="s">
        <v>68</v>
      </c>
      <c r="J5" s="79"/>
      <c r="K5" s="35"/>
      <c r="L5" s="36" t="b">
        <v>1</v>
      </c>
      <c r="M5" s="37" t="s">
        <v>6</v>
      </c>
      <c r="N5" s="38" t="s">
        <v>7</v>
      </c>
      <c r="O5" s="37"/>
    </row>
    <row r="6" hidden="1">
      <c r="A6" s="39" t="s">
        <v>2</v>
      </c>
      <c r="B6" s="40" t="s">
        <v>68</v>
      </c>
      <c r="C6" s="41" t="s">
        <v>59</v>
      </c>
      <c r="D6" s="56" t="s">
        <v>59</v>
      </c>
      <c r="E6" s="43" t="s">
        <v>70</v>
      </c>
      <c r="F6" s="41" t="s">
        <v>58</v>
      </c>
      <c r="G6" s="157">
        <f>G5</f>
        <v>242679.882</v>
      </c>
      <c r="H6" s="45" t="str">
        <f>VLOOKUP(B6,'Abril Data'!A:D,4,FALSE)</f>
        <v>UESP1772</v>
      </c>
      <c r="I6" s="85" t="s">
        <v>68</v>
      </c>
      <c r="J6" s="79"/>
      <c r="K6" s="35"/>
      <c r="L6" s="36" t="b">
        <v>1</v>
      </c>
      <c r="M6" s="37" t="s">
        <v>10</v>
      </c>
      <c r="N6" s="38" t="s">
        <v>11</v>
      </c>
      <c r="O6" s="37"/>
    </row>
    <row r="7" hidden="1">
      <c r="A7" s="28" t="s">
        <v>38</v>
      </c>
      <c r="B7" s="27" t="s">
        <v>76</v>
      </c>
      <c r="C7" s="28" t="s">
        <v>58</v>
      </c>
      <c r="D7" s="29" t="s">
        <v>69</v>
      </c>
      <c r="E7" s="30" t="s">
        <v>77</v>
      </c>
      <c r="F7" s="28" t="s">
        <v>146</v>
      </c>
      <c r="G7" s="156">
        <v>0.0</v>
      </c>
      <c r="H7" s="32" t="str">
        <f>VLOOKUP(B7,'Abril Data'!A:D,4,FALSE)</f>
        <v>#N/A</v>
      </c>
      <c r="I7" s="106"/>
      <c r="J7" s="106" t="s">
        <v>147</v>
      </c>
      <c r="K7" s="35"/>
      <c r="L7" s="36" t="b">
        <v>1</v>
      </c>
      <c r="O7" s="37"/>
    </row>
    <row r="8" hidden="1">
      <c r="A8" s="41" t="s">
        <v>38</v>
      </c>
      <c r="B8" s="40" t="s">
        <v>76</v>
      </c>
      <c r="C8" s="41" t="s">
        <v>72</v>
      </c>
      <c r="D8" s="42" t="s">
        <v>69</v>
      </c>
      <c r="E8" s="43" t="s">
        <v>77</v>
      </c>
      <c r="F8" s="41" t="s">
        <v>73</v>
      </c>
      <c r="G8" s="157">
        <f>SUMIFS('Abril Data'!C:C,'Abril Data'!A:A,B8,'Abril Data'!B:B,F8)</f>
        <v>0</v>
      </c>
      <c r="H8" s="45" t="str">
        <f>VLOOKUP(B8,'Abril Data'!A:D,4,FALSE)</f>
        <v>#N/A</v>
      </c>
      <c r="I8" s="79"/>
      <c r="J8" s="79"/>
      <c r="K8" s="35"/>
      <c r="L8" s="36" t="b">
        <v>1</v>
      </c>
      <c r="M8" s="41" t="s">
        <v>38</v>
      </c>
      <c r="O8" s="37"/>
    </row>
    <row r="9" hidden="1">
      <c r="A9" s="50" t="s">
        <v>38</v>
      </c>
      <c r="B9" s="40" t="s">
        <v>76</v>
      </c>
      <c r="C9" s="41" t="s">
        <v>72</v>
      </c>
      <c r="D9" s="50" t="s">
        <v>69</v>
      </c>
      <c r="E9" s="51" t="s">
        <v>77</v>
      </c>
      <c r="F9" s="50" t="s">
        <v>74</v>
      </c>
      <c r="G9" s="158">
        <f>G8+G7</f>
        <v>0</v>
      </c>
      <c r="H9" s="53" t="str">
        <f>VLOOKUP(B9,'Abril Data'!A:D,4,FALSE)</f>
        <v>#N/A</v>
      </c>
      <c r="I9" s="78"/>
      <c r="J9" s="78"/>
      <c r="K9" s="35"/>
      <c r="L9" s="36" t="b">
        <v>1</v>
      </c>
      <c r="O9" s="37"/>
    </row>
    <row r="10" hidden="1">
      <c r="A10" s="60" t="s">
        <v>38</v>
      </c>
      <c r="B10" s="40" t="s">
        <v>76</v>
      </c>
      <c r="C10" s="41" t="s">
        <v>59</v>
      </c>
      <c r="D10" s="56" t="s">
        <v>59</v>
      </c>
      <c r="E10" s="43" t="s">
        <v>77</v>
      </c>
      <c r="F10" s="41" t="s">
        <v>75</v>
      </c>
      <c r="G10" s="157">
        <f>G9*5%</f>
        <v>0</v>
      </c>
      <c r="H10" s="45" t="str">
        <f>VLOOKUP(B10,'Abril Data'!A:D,4,FALSE)</f>
        <v>#N/A</v>
      </c>
      <c r="I10" s="79"/>
      <c r="J10" s="79"/>
      <c r="K10" s="35"/>
      <c r="L10" s="36" t="b">
        <v>1</v>
      </c>
      <c r="O10" s="37"/>
    </row>
    <row r="11" hidden="1">
      <c r="A11" s="60" t="s">
        <v>38</v>
      </c>
      <c r="B11" s="40" t="s">
        <v>76</v>
      </c>
      <c r="C11" s="41" t="s">
        <v>59</v>
      </c>
      <c r="D11" s="56" t="s">
        <v>59</v>
      </c>
      <c r="E11" s="43" t="s">
        <v>77</v>
      </c>
      <c r="F11" s="41" t="s">
        <v>58</v>
      </c>
      <c r="G11" s="157">
        <f>G10</f>
        <v>0</v>
      </c>
      <c r="H11" s="45" t="str">
        <f>VLOOKUP(B11,'Abril Data'!A:D,4,FALSE)</f>
        <v>#N/A</v>
      </c>
      <c r="I11" s="79"/>
      <c r="J11" s="79"/>
      <c r="K11" s="35"/>
      <c r="L11" s="36" t="b">
        <v>1</v>
      </c>
      <c r="O11" s="37"/>
    </row>
    <row r="12">
      <c r="A12" s="28" t="s">
        <v>4</v>
      </c>
      <c r="B12" s="27" t="s">
        <v>149</v>
      </c>
      <c r="C12" s="28" t="s">
        <v>58</v>
      </c>
      <c r="D12" s="29" t="s">
        <v>69</v>
      </c>
      <c r="E12" s="30" t="s">
        <v>79</v>
      </c>
      <c r="F12" s="135" t="s">
        <v>71</v>
      </c>
      <c r="G12" s="159">
        <f>SUMIFS('Abril Data'!C:C,'Abril Data'!A:A,B12,'Abril Data'!B:B,F12)</f>
        <v>3809524.31</v>
      </c>
      <c r="H12" s="63" t="str">
        <f>VLOOKUP(B12,'Abril Data'!A:D,4,FALSE)</f>
        <v>UESP1778</v>
      </c>
      <c r="I12" s="85" t="s">
        <v>148</v>
      </c>
      <c r="J12" s="85">
        <f>J2+1</f>
        <v>770</v>
      </c>
      <c r="K12" s="35"/>
      <c r="L12" s="36" t="b">
        <v>1</v>
      </c>
      <c r="M12" s="37" t="s">
        <v>12</v>
      </c>
      <c r="N12" s="38" t="s">
        <v>13</v>
      </c>
      <c r="O12" s="37"/>
    </row>
    <row r="13" hidden="1">
      <c r="A13" s="41" t="s">
        <v>4</v>
      </c>
      <c r="B13" s="40" t="s">
        <v>149</v>
      </c>
      <c r="C13" s="41" t="s">
        <v>72</v>
      </c>
      <c r="D13" s="42" t="s">
        <v>69</v>
      </c>
      <c r="E13" s="43" t="s">
        <v>79</v>
      </c>
      <c r="F13" s="56" t="s">
        <v>73</v>
      </c>
      <c r="G13" s="160">
        <f>SUMIFS('Abril Data'!C:C,'Abril Data'!A:A,B13,'Abril Data'!B:B,F13)</f>
        <v>85957.03</v>
      </c>
      <c r="H13" s="66" t="str">
        <f>VLOOKUP(B13,'Abril Data'!A:D,4,FALSE)</f>
        <v>UESP1778</v>
      </c>
      <c r="I13" s="161" t="s">
        <v>149</v>
      </c>
      <c r="J13" s="79"/>
      <c r="K13" s="35"/>
      <c r="L13" s="36" t="b">
        <v>1</v>
      </c>
      <c r="M13" s="37" t="s">
        <v>40</v>
      </c>
      <c r="N13" s="38" t="s">
        <v>41</v>
      </c>
      <c r="O13" s="37"/>
    </row>
    <row r="14" hidden="1">
      <c r="A14" s="71" t="s">
        <v>4</v>
      </c>
      <c r="B14" s="70" t="s">
        <v>149</v>
      </c>
      <c r="C14" s="71" t="s">
        <v>72</v>
      </c>
      <c r="D14" s="72" t="s">
        <v>69</v>
      </c>
      <c r="E14" s="73"/>
      <c r="F14" s="81" t="s">
        <v>80</v>
      </c>
      <c r="G14" s="160">
        <f>(G12+G13)*4%</f>
        <v>155819.2536</v>
      </c>
      <c r="H14" s="66" t="str">
        <f>VLOOKUP(B14,'Abril Data'!A:D,4,FALSE)</f>
        <v>UESP1778</v>
      </c>
      <c r="I14" s="161" t="s">
        <v>149</v>
      </c>
      <c r="J14" s="83"/>
      <c r="K14" s="35"/>
      <c r="L14" s="36" t="b">
        <v>1</v>
      </c>
      <c r="M14" s="37" t="s">
        <v>14</v>
      </c>
      <c r="N14" s="38" t="s">
        <v>15</v>
      </c>
      <c r="O14" s="37"/>
    </row>
    <row r="15" hidden="1">
      <c r="A15" s="50" t="s">
        <v>4</v>
      </c>
      <c r="B15" s="40" t="s">
        <v>149</v>
      </c>
      <c r="C15" s="41" t="s">
        <v>72</v>
      </c>
      <c r="D15" s="50" t="s">
        <v>69</v>
      </c>
      <c r="E15" s="51" t="s">
        <v>79</v>
      </c>
      <c r="F15" s="50" t="s">
        <v>74</v>
      </c>
      <c r="G15" s="158">
        <f>G12+G13-G14</f>
        <v>3739662.086</v>
      </c>
      <c r="H15" s="53" t="str">
        <f>VLOOKUP(B15,'Abril Data'!A:D,4,FALSE)</f>
        <v>UESP1778</v>
      </c>
      <c r="I15" s="78"/>
      <c r="J15" s="78"/>
      <c r="K15" s="35"/>
      <c r="L15" s="36" t="b">
        <v>1</v>
      </c>
      <c r="M15" s="37" t="s">
        <v>16</v>
      </c>
      <c r="N15" s="38" t="s">
        <v>17</v>
      </c>
      <c r="O15" s="37"/>
    </row>
    <row r="16" hidden="1">
      <c r="A16" s="37" t="s">
        <v>4</v>
      </c>
      <c r="B16" s="40" t="s">
        <v>149</v>
      </c>
      <c r="C16" s="41" t="s">
        <v>59</v>
      </c>
      <c r="D16" s="56" t="s">
        <v>59</v>
      </c>
      <c r="E16" s="43" t="s">
        <v>79</v>
      </c>
      <c r="F16" s="41" t="s">
        <v>75</v>
      </c>
      <c r="G16" s="157">
        <f>G15*5%</f>
        <v>186983.1043</v>
      </c>
      <c r="H16" s="45" t="str">
        <f>VLOOKUP(B16,'Abril Data'!A:D,4,FALSE)</f>
        <v>UESP1778</v>
      </c>
      <c r="I16" s="161" t="s">
        <v>149</v>
      </c>
      <c r="J16" s="79"/>
      <c r="K16" s="35"/>
      <c r="L16" s="36" t="b">
        <v>1</v>
      </c>
      <c r="M16" s="37" t="s">
        <v>42</v>
      </c>
      <c r="N16" s="38" t="s">
        <v>43</v>
      </c>
      <c r="O16" s="37"/>
    </row>
    <row r="17" hidden="1">
      <c r="A17" s="80" t="s">
        <v>4</v>
      </c>
      <c r="B17" s="70" t="s">
        <v>149</v>
      </c>
      <c r="C17" s="71" t="s">
        <v>59</v>
      </c>
      <c r="D17" s="81" t="s">
        <v>59</v>
      </c>
      <c r="E17" s="73" t="s">
        <v>79</v>
      </c>
      <c r="F17" s="71" t="s">
        <v>58</v>
      </c>
      <c r="G17" s="162">
        <f>G16</f>
        <v>186983.1043</v>
      </c>
      <c r="H17" s="82" t="str">
        <f>VLOOKUP(B17,'Abril Data'!A:D,4,FALSE)</f>
        <v>UESP1778</v>
      </c>
      <c r="I17" s="161" t="s">
        <v>149</v>
      </c>
      <c r="J17" s="83"/>
      <c r="K17" s="35"/>
      <c r="L17" s="36" t="b">
        <v>1</v>
      </c>
      <c r="M17" s="37" t="s">
        <v>18</v>
      </c>
      <c r="N17" s="38" t="s">
        <v>19</v>
      </c>
      <c r="O17" s="37"/>
    </row>
    <row r="18" ht="16.5" customHeight="1">
      <c r="A18" s="28" t="s">
        <v>6</v>
      </c>
      <c r="B18" s="27" t="s">
        <v>135</v>
      </c>
      <c r="C18" s="28" t="s">
        <v>58</v>
      </c>
      <c r="D18" s="29" t="s">
        <v>69</v>
      </c>
      <c r="E18" s="30" t="s">
        <v>82</v>
      </c>
      <c r="F18" s="135" t="s">
        <v>71</v>
      </c>
      <c r="G18" s="156">
        <f>SUMIFS('Abril Data'!C:C,'Abril Data'!A:A,B18,'Abril Data'!B:B,F18)</f>
        <v>6920127.24</v>
      </c>
      <c r="H18" s="32" t="str">
        <f>VLOOKUP(B18,'Abril Data'!A:D,4,FALSE)</f>
        <v>UESP1782</v>
      </c>
      <c r="I18" s="85" t="s">
        <v>141</v>
      </c>
      <c r="J18" s="85">
        <f>J12+1</f>
        <v>771</v>
      </c>
      <c r="K18" s="35"/>
      <c r="L18" s="36" t="b">
        <v>1</v>
      </c>
      <c r="M18" s="37" t="s">
        <v>20</v>
      </c>
      <c r="N18" s="38" t="s">
        <v>21</v>
      </c>
      <c r="O18" s="37"/>
    </row>
    <row r="19" ht="16.5" hidden="1" customHeight="1">
      <c r="A19" s="71" t="s">
        <v>6</v>
      </c>
      <c r="B19" s="70" t="s">
        <v>135</v>
      </c>
      <c r="C19" s="71" t="s">
        <v>72</v>
      </c>
      <c r="D19" s="72" t="s">
        <v>69</v>
      </c>
      <c r="E19" s="73" t="s">
        <v>82</v>
      </c>
      <c r="F19" s="81" t="s">
        <v>73</v>
      </c>
      <c r="G19" s="162">
        <f>SUMIFS('Abril Data'!C:C,'Abril Data'!A:A,B19,'Abril Data'!B:B,F19)</f>
        <v>0</v>
      </c>
      <c r="H19" s="82" t="str">
        <f>VLOOKUP(B19,'Abril Data'!A:D,4,FALSE)</f>
        <v>UESP1782</v>
      </c>
      <c r="I19" s="87" t="s">
        <v>141</v>
      </c>
      <c r="J19" s="87"/>
      <c r="K19" s="35"/>
      <c r="L19" s="36" t="b">
        <v>1</v>
      </c>
      <c r="M19" s="37" t="s">
        <v>22</v>
      </c>
      <c r="N19" s="38" t="s">
        <v>23</v>
      </c>
      <c r="O19" s="37"/>
    </row>
    <row r="20" ht="16.5" hidden="1" customHeight="1">
      <c r="A20" s="50" t="s">
        <v>6</v>
      </c>
      <c r="B20" s="40" t="s">
        <v>135</v>
      </c>
      <c r="C20" s="41" t="s">
        <v>72</v>
      </c>
      <c r="D20" s="50" t="s">
        <v>69</v>
      </c>
      <c r="E20" s="51" t="s">
        <v>82</v>
      </c>
      <c r="F20" s="50" t="s">
        <v>74</v>
      </c>
      <c r="G20" s="158">
        <f>G19+G18</f>
        <v>6920127.24</v>
      </c>
      <c r="H20" s="53" t="str">
        <f>VLOOKUP(B20,'Abril Data'!A:D,4,FALSE)</f>
        <v>UESP1782</v>
      </c>
      <c r="I20" s="78"/>
      <c r="J20" s="78"/>
      <c r="K20" s="35"/>
      <c r="L20" s="36" t="b">
        <v>1</v>
      </c>
      <c r="M20" s="37" t="s">
        <v>24</v>
      </c>
      <c r="N20" s="38" t="s">
        <v>25</v>
      </c>
      <c r="O20" s="37"/>
    </row>
    <row r="21" ht="16.5" hidden="1" customHeight="1">
      <c r="A21" s="84" t="s">
        <v>6</v>
      </c>
      <c r="B21" s="27" t="s">
        <v>135</v>
      </c>
      <c r="C21" s="28" t="s">
        <v>59</v>
      </c>
      <c r="D21" s="56" t="s">
        <v>59</v>
      </c>
      <c r="E21" s="88"/>
      <c r="F21" s="41" t="s">
        <v>75</v>
      </c>
      <c r="G21" s="157">
        <f>G20*5%</f>
        <v>346006.362</v>
      </c>
      <c r="H21" s="45" t="str">
        <f>VLOOKUP(B21,'Abril Data'!A:D,4,FALSE)</f>
        <v>UESP1782</v>
      </c>
      <c r="I21" s="85" t="s">
        <v>141</v>
      </c>
      <c r="J21" s="85"/>
      <c r="K21" s="35"/>
      <c r="L21" s="36" t="b">
        <v>1</v>
      </c>
      <c r="M21" s="37" t="s">
        <v>26</v>
      </c>
      <c r="N21" s="38" t="s">
        <v>27</v>
      </c>
      <c r="O21" s="37"/>
    </row>
    <row r="22" ht="16.5" hidden="1" customHeight="1">
      <c r="A22" s="36" t="s">
        <v>6</v>
      </c>
      <c r="B22" s="40" t="s">
        <v>135</v>
      </c>
      <c r="C22" s="41" t="s">
        <v>59</v>
      </c>
      <c r="D22" s="56" t="s">
        <v>59</v>
      </c>
      <c r="E22" s="88"/>
      <c r="F22" s="41" t="s">
        <v>58</v>
      </c>
      <c r="G22" s="157">
        <f>G21</f>
        <v>346006.362</v>
      </c>
      <c r="H22" s="45" t="str">
        <f>VLOOKUP(B22,'Abril Data'!A:D,4,FALSE)</f>
        <v>UESP1782</v>
      </c>
      <c r="I22" s="89" t="s">
        <v>141</v>
      </c>
      <c r="J22" s="89"/>
      <c r="K22" s="35"/>
      <c r="L22" s="36" t="b">
        <v>1</v>
      </c>
      <c r="M22" s="37" t="s">
        <v>28</v>
      </c>
      <c r="N22" s="38" t="s">
        <v>29</v>
      </c>
      <c r="O22" s="37"/>
    </row>
    <row r="23">
      <c r="A23" s="28" t="s">
        <v>10</v>
      </c>
      <c r="B23" s="27" t="s">
        <v>83</v>
      </c>
      <c r="C23" s="28" t="s">
        <v>58</v>
      </c>
      <c r="D23" s="29" t="s">
        <v>69</v>
      </c>
      <c r="E23" s="30" t="s">
        <v>84</v>
      </c>
      <c r="F23" s="135" t="s">
        <v>71</v>
      </c>
      <c r="G23" s="156">
        <f>SUMIFS('Abril Data'!C:C,'Abril Data'!A:A,B23,'Abril Data'!B:B,F23)</f>
        <v>5799515.39</v>
      </c>
      <c r="H23" s="32" t="str">
        <f>VLOOKUP(B23,'Abril Data'!A:D,4,FALSE)</f>
        <v>UESP1770</v>
      </c>
      <c r="I23" s="85" t="s">
        <v>150</v>
      </c>
      <c r="J23" s="85">
        <f>J18+1</f>
        <v>772</v>
      </c>
      <c r="K23" s="35"/>
      <c r="L23" s="36" t="b">
        <v>1</v>
      </c>
      <c r="M23" s="37" t="s">
        <v>30</v>
      </c>
      <c r="N23" s="38" t="s">
        <v>31</v>
      </c>
      <c r="O23" s="37"/>
    </row>
    <row r="24" hidden="1">
      <c r="A24" s="71" t="s">
        <v>10</v>
      </c>
      <c r="B24" s="70" t="s">
        <v>83</v>
      </c>
      <c r="C24" s="71" t="s">
        <v>72</v>
      </c>
      <c r="D24" s="72" t="s">
        <v>69</v>
      </c>
      <c r="E24" s="73" t="s">
        <v>84</v>
      </c>
      <c r="F24" s="81" t="s">
        <v>73</v>
      </c>
      <c r="G24" s="162">
        <f>SUMIFS('Abril Data'!C:C,'Abril Data'!A:A,B24,'Abril Data'!B:B,F24)</f>
        <v>31968.92</v>
      </c>
      <c r="H24" s="82" t="str">
        <f>VLOOKUP(B24,'Abril Data'!A:D,4,FALSE)</f>
        <v>UESP1770</v>
      </c>
      <c r="I24" s="87" t="s">
        <v>150</v>
      </c>
      <c r="J24" s="83"/>
      <c r="K24" s="35"/>
      <c r="L24" s="36" t="b">
        <v>1</v>
      </c>
      <c r="M24" s="37" t="s">
        <v>32</v>
      </c>
      <c r="N24" s="38" t="s">
        <v>33</v>
      </c>
      <c r="O24" s="37"/>
    </row>
    <row r="25" hidden="1">
      <c r="A25" s="50" t="s">
        <v>10</v>
      </c>
      <c r="B25" s="40" t="s">
        <v>83</v>
      </c>
      <c r="C25" s="41" t="s">
        <v>72</v>
      </c>
      <c r="D25" s="50" t="s">
        <v>69</v>
      </c>
      <c r="E25" s="51" t="s">
        <v>84</v>
      </c>
      <c r="F25" s="50" t="s">
        <v>74</v>
      </c>
      <c r="G25" s="158">
        <f>G24+G23</f>
        <v>5831484.31</v>
      </c>
      <c r="H25" s="53" t="str">
        <f>VLOOKUP(B25,'Abril Data'!A:D,4,FALSE)</f>
        <v>UESP1770</v>
      </c>
      <c r="I25" s="78"/>
      <c r="J25" s="78"/>
      <c r="K25" s="35"/>
      <c r="L25" s="36" t="b">
        <v>1</v>
      </c>
      <c r="M25" s="37" t="s">
        <v>34</v>
      </c>
      <c r="N25" s="38" t="s">
        <v>35</v>
      </c>
      <c r="O25" s="37"/>
    </row>
    <row r="26" hidden="1">
      <c r="A26" s="91" t="s">
        <v>10</v>
      </c>
      <c r="B26" s="27" t="s">
        <v>83</v>
      </c>
      <c r="C26" s="28" t="s">
        <v>59</v>
      </c>
      <c r="D26" s="56" t="s">
        <v>59</v>
      </c>
      <c r="E26" s="88"/>
      <c r="F26" s="41" t="s">
        <v>75</v>
      </c>
      <c r="G26" s="157">
        <f>G25*5%</f>
        <v>291574.2155</v>
      </c>
      <c r="H26" s="45" t="str">
        <f>VLOOKUP(B26,'Abril Data'!A:D,4,FALSE)</f>
        <v>UESP1770</v>
      </c>
      <c r="I26" s="85" t="s">
        <v>150</v>
      </c>
      <c r="J26" s="92"/>
      <c r="K26" s="35"/>
      <c r="L26" s="36" t="b">
        <v>1</v>
      </c>
      <c r="M26" s="37" t="s">
        <v>44</v>
      </c>
      <c r="N26" s="38" t="s">
        <v>45</v>
      </c>
      <c r="O26" s="37"/>
    </row>
    <row r="27" hidden="1">
      <c r="A27" s="80" t="s">
        <v>10</v>
      </c>
      <c r="B27" s="70" t="s">
        <v>83</v>
      </c>
      <c r="C27" s="71" t="s">
        <v>59</v>
      </c>
      <c r="D27" s="81" t="s">
        <v>59</v>
      </c>
      <c r="E27" s="88"/>
      <c r="F27" s="71" t="s">
        <v>58</v>
      </c>
      <c r="G27" s="162">
        <f>G26</f>
        <v>291574.2155</v>
      </c>
      <c r="H27" s="82" t="str">
        <f>VLOOKUP(B27,'Abril Data'!A:D,4,FALSE)</f>
        <v>UESP1770</v>
      </c>
      <c r="I27" s="87" t="s">
        <v>150</v>
      </c>
      <c r="J27" s="83"/>
      <c r="K27" s="35"/>
      <c r="L27" s="36" t="b">
        <v>1</v>
      </c>
      <c r="M27" s="80" t="s">
        <v>36</v>
      </c>
      <c r="N27" s="90" t="s">
        <v>37</v>
      </c>
      <c r="O27" s="37"/>
    </row>
    <row r="28">
      <c r="A28" s="28" t="s">
        <v>12</v>
      </c>
      <c r="B28" s="27" t="s">
        <v>85</v>
      </c>
      <c r="C28" s="28" t="s">
        <v>58</v>
      </c>
      <c r="D28" s="29" t="s">
        <v>69</v>
      </c>
      <c r="E28" s="30" t="s">
        <v>86</v>
      </c>
      <c r="F28" s="135" t="s">
        <v>71</v>
      </c>
      <c r="G28" s="156">
        <f>SUMIFS('Abril Data'!C:C,'Abril Data'!A:A,B28,'Abril Data'!B:B,F28)</f>
        <v>2402148.84</v>
      </c>
      <c r="H28" s="32" t="str">
        <f>VLOOKUP(B28,'Abril Data'!A:D,4,FALSE)</f>
        <v>UESP1764</v>
      </c>
      <c r="I28" s="85" t="s">
        <v>85</v>
      </c>
      <c r="J28" s="85">
        <f>J23+1</f>
        <v>773</v>
      </c>
      <c r="K28" s="93"/>
      <c r="O28" s="37"/>
    </row>
    <row r="29" hidden="1">
      <c r="A29" s="71" t="s">
        <v>12</v>
      </c>
      <c r="B29" s="70" t="s">
        <v>85</v>
      </c>
      <c r="C29" s="71" t="s">
        <v>72</v>
      </c>
      <c r="D29" s="72" t="s">
        <v>69</v>
      </c>
      <c r="E29" s="73" t="s">
        <v>86</v>
      </c>
      <c r="F29" s="81" t="s">
        <v>73</v>
      </c>
      <c r="G29" s="162">
        <f>SUMIFS('Abril Data'!C:C,'Abril Data'!A:A,B29,'Abril Data'!B:B,F29)</f>
        <v>52438.59</v>
      </c>
      <c r="H29" s="82" t="str">
        <f>VLOOKUP(B29,'Abril Data'!A:D,4,FALSE)</f>
        <v>UESP1764</v>
      </c>
      <c r="I29" s="87" t="s">
        <v>85</v>
      </c>
      <c r="J29" s="83"/>
      <c r="K29" s="35"/>
      <c r="O29" s="37"/>
    </row>
    <row r="30" hidden="1">
      <c r="A30" s="50" t="s">
        <v>12</v>
      </c>
      <c r="B30" s="40" t="s">
        <v>85</v>
      </c>
      <c r="C30" s="41" t="s">
        <v>72</v>
      </c>
      <c r="D30" s="50" t="s">
        <v>69</v>
      </c>
      <c r="E30" s="51" t="s">
        <v>86</v>
      </c>
      <c r="F30" s="50" t="s">
        <v>74</v>
      </c>
      <c r="G30" s="158">
        <f>G29+G28</f>
        <v>2454587.43</v>
      </c>
      <c r="H30" s="53" t="str">
        <f>VLOOKUP(B30,'Abril Data'!A:D,4,FALSE)</f>
        <v>UESP1764</v>
      </c>
      <c r="I30" s="78"/>
      <c r="J30" s="78"/>
      <c r="K30" s="35"/>
      <c r="O30" s="37"/>
    </row>
    <row r="31" hidden="1">
      <c r="A31" s="91" t="s">
        <v>12</v>
      </c>
      <c r="B31" s="27" t="s">
        <v>85</v>
      </c>
      <c r="C31" s="28" t="s">
        <v>59</v>
      </c>
      <c r="D31" s="56" t="s">
        <v>59</v>
      </c>
      <c r="E31" s="88"/>
      <c r="F31" s="41" t="s">
        <v>75</v>
      </c>
      <c r="G31" s="157">
        <f>G30*5%</f>
        <v>122729.3715</v>
      </c>
      <c r="H31" s="45" t="str">
        <f>VLOOKUP(B31,'Abril Data'!A:D,4,FALSE)</f>
        <v>UESP1764</v>
      </c>
      <c r="I31" s="85" t="s">
        <v>85</v>
      </c>
      <c r="J31" s="92"/>
      <c r="K31" s="35"/>
      <c r="O31" s="37"/>
    </row>
    <row r="32" hidden="1">
      <c r="A32" s="80" t="s">
        <v>12</v>
      </c>
      <c r="B32" s="70" t="s">
        <v>85</v>
      </c>
      <c r="C32" s="71" t="s">
        <v>59</v>
      </c>
      <c r="D32" s="81" t="s">
        <v>59</v>
      </c>
      <c r="E32" s="88"/>
      <c r="F32" s="71" t="s">
        <v>58</v>
      </c>
      <c r="G32" s="162">
        <f>G31</f>
        <v>122729.3715</v>
      </c>
      <c r="H32" s="82" t="str">
        <f>VLOOKUP(B32,'Abril Data'!A:D,4,FALSE)</f>
        <v>UESP1764</v>
      </c>
      <c r="I32" s="87" t="s">
        <v>85</v>
      </c>
      <c r="J32" s="83"/>
      <c r="K32" s="35"/>
      <c r="O32" s="37"/>
    </row>
    <row r="33" hidden="1">
      <c r="A33" s="28" t="s">
        <v>40</v>
      </c>
      <c r="B33" s="27" t="s">
        <v>87</v>
      </c>
      <c r="C33" s="28" t="s">
        <v>58</v>
      </c>
      <c r="D33" s="28" t="s">
        <v>69</v>
      </c>
      <c r="E33" s="30" t="s">
        <v>82</v>
      </c>
      <c r="F33" s="28" t="s">
        <v>71</v>
      </c>
      <c r="G33" s="156">
        <f>SUMIFS('Abril Data'!C:C,'Abril Data'!A:A,B33,'Abril Data'!B:B,F33)</f>
        <v>0</v>
      </c>
      <c r="H33" s="32" t="str">
        <f>VLOOKUP(B33,'Abril Data'!A:D,4,FALSE)</f>
        <v>#N/A</v>
      </c>
      <c r="I33" s="85" t="s">
        <v>151</v>
      </c>
      <c r="J33" s="85"/>
      <c r="K33" s="35"/>
      <c r="O33" s="80"/>
    </row>
    <row r="34" hidden="1">
      <c r="A34" s="71" t="s">
        <v>40</v>
      </c>
      <c r="B34" s="70" t="s">
        <v>87</v>
      </c>
      <c r="C34" s="71" t="s">
        <v>72</v>
      </c>
      <c r="D34" s="72" t="s">
        <v>69</v>
      </c>
      <c r="E34" s="73" t="s">
        <v>82</v>
      </c>
      <c r="F34" s="71" t="s">
        <v>73</v>
      </c>
      <c r="G34" s="162">
        <f>SUMIFS('Abril Data'!C:C,'Abril Data'!A:A,B34,'Abril Data'!B:B,F34)</f>
        <v>0</v>
      </c>
      <c r="H34" s="82" t="str">
        <f>VLOOKUP(B34,'Abril Data'!A:D,4,FALSE)</f>
        <v>#N/A</v>
      </c>
      <c r="I34" s="85" t="s">
        <v>151</v>
      </c>
      <c r="J34" s="83"/>
      <c r="K34" s="35"/>
    </row>
    <row r="35" hidden="1">
      <c r="A35" s="50" t="s">
        <v>40</v>
      </c>
      <c r="B35" s="40" t="s">
        <v>87</v>
      </c>
      <c r="C35" s="41" t="s">
        <v>72</v>
      </c>
      <c r="D35" s="50" t="s">
        <v>69</v>
      </c>
      <c r="E35" s="51" t="s">
        <v>82</v>
      </c>
      <c r="F35" s="50" t="s">
        <v>74</v>
      </c>
      <c r="G35" s="158">
        <f>G34+G33</f>
        <v>0</v>
      </c>
      <c r="H35" s="53" t="str">
        <f>VLOOKUP(B35,'Abril Data'!A:D,4,FALSE)</f>
        <v>#N/A</v>
      </c>
      <c r="I35" s="78"/>
      <c r="J35" s="78"/>
      <c r="K35" s="35"/>
    </row>
    <row r="36" hidden="1">
      <c r="A36" s="94" t="s">
        <v>40</v>
      </c>
      <c r="B36" s="27" t="s">
        <v>87</v>
      </c>
      <c r="C36" s="28" t="s">
        <v>59</v>
      </c>
      <c r="D36" s="56" t="s">
        <v>59</v>
      </c>
      <c r="E36" s="88"/>
      <c r="F36" s="41" t="s">
        <v>75</v>
      </c>
      <c r="G36" s="157">
        <f>G35*5%</f>
        <v>0</v>
      </c>
      <c r="H36" s="45" t="str">
        <f>VLOOKUP(B36,'Abril Data'!A:D,4,FALSE)</f>
        <v>#N/A</v>
      </c>
      <c r="I36" s="85" t="s">
        <v>151</v>
      </c>
      <c r="J36" s="92"/>
      <c r="K36" s="35"/>
    </row>
    <row r="37" hidden="1">
      <c r="A37" s="96" t="s">
        <v>40</v>
      </c>
      <c r="B37" s="70" t="s">
        <v>87</v>
      </c>
      <c r="C37" s="71" t="s">
        <v>59</v>
      </c>
      <c r="D37" s="81" t="s">
        <v>59</v>
      </c>
      <c r="E37" s="88"/>
      <c r="F37" s="71" t="s">
        <v>58</v>
      </c>
      <c r="G37" s="162">
        <f>G36</f>
        <v>0</v>
      </c>
      <c r="H37" s="82" t="str">
        <f>VLOOKUP(B37,'Abril Data'!A:D,4,FALSE)</f>
        <v>#N/A</v>
      </c>
      <c r="I37" s="85" t="s">
        <v>151</v>
      </c>
      <c r="J37" s="83"/>
      <c r="K37" s="35"/>
    </row>
    <row r="38">
      <c r="A38" s="28" t="s">
        <v>14</v>
      </c>
      <c r="B38" s="27" t="s">
        <v>88</v>
      </c>
      <c r="C38" s="28" t="s">
        <v>58</v>
      </c>
      <c r="D38" s="29" t="s">
        <v>69</v>
      </c>
      <c r="E38" s="30" t="s">
        <v>82</v>
      </c>
      <c r="F38" s="135" t="s">
        <v>71</v>
      </c>
      <c r="G38" s="163">
        <f>SUMIFS('Abril Data'!C:C,'Abril Data'!A:A,B38,'Abril Data'!B:B,F38)</f>
        <v>3114129.59</v>
      </c>
      <c r="H38" s="137" t="str">
        <f>VLOOKUP(B38,'Abril Data'!A:D,4,FALSE)</f>
        <v>UESP1780</v>
      </c>
      <c r="I38" s="85" t="s">
        <v>88</v>
      </c>
      <c r="J38" s="85">
        <f>J28+1</f>
        <v>774</v>
      </c>
      <c r="K38" s="35"/>
    </row>
    <row r="39" hidden="1">
      <c r="A39" s="71" t="s">
        <v>14</v>
      </c>
      <c r="B39" s="70" t="s">
        <v>88</v>
      </c>
      <c r="C39" s="71" t="s">
        <v>72</v>
      </c>
      <c r="D39" s="72" t="s">
        <v>69</v>
      </c>
      <c r="E39" s="73" t="s">
        <v>82</v>
      </c>
      <c r="F39" s="81" t="s">
        <v>73</v>
      </c>
      <c r="G39" s="164">
        <f>SUMIFS('Abril Data'!C:C,'Abril Data'!A:A,B39,'Abril Data'!B:B,F39)</f>
        <v>19254.71</v>
      </c>
      <c r="H39" s="143" t="str">
        <f>VLOOKUP(B39,'Abril Data'!A:D,4,FALSE)</f>
        <v>UESP1780</v>
      </c>
      <c r="I39" s="87" t="s">
        <v>88</v>
      </c>
      <c r="J39" s="83"/>
      <c r="K39" s="35"/>
    </row>
    <row r="40" hidden="1">
      <c r="A40" s="50" t="s">
        <v>14</v>
      </c>
      <c r="B40" s="40" t="s">
        <v>88</v>
      </c>
      <c r="C40" s="41" t="s">
        <v>72</v>
      </c>
      <c r="D40" s="50" t="s">
        <v>69</v>
      </c>
      <c r="E40" s="51" t="s">
        <v>82</v>
      </c>
      <c r="F40" s="50" t="s">
        <v>74</v>
      </c>
      <c r="G40" s="158">
        <f>G39+G38</f>
        <v>3133384.3</v>
      </c>
      <c r="H40" s="53" t="str">
        <f>VLOOKUP(B40,'Abril Data'!A:D,4,FALSE)</f>
        <v>UESP1780</v>
      </c>
      <c r="I40" s="78"/>
      <c r="J40" s="78"/>
      <c r="K40" s="35"/>
    </row>
    <row r="41" hidden="1">
      <c r="A41" s="91" t="s">
        <v>14</v>
      </c>
      <c r="B41" s="27" t="s">
        <v>88</v>
      </c>
      <c r="C41" s="28" t="s">
        <v>59</v>
      </c>
      <c r="D41" s="56" t="s">
        <v>59</v>
      </c>
      <c r="E41" s="88"/>
      <c r="F41" s="41" t="s">
        <v>75</v>
      </c>
      <c r="G41" s="157">
        <f>G40*5%</f>
        <v>156669.215</v>
      </c>
      <c r="H41" s="45" t="str">
        <f>VLOOKUP(B41,'Abril Data'!A:D,4,FALSE)</f>
        <v>UESP1780</v>
      </c>
      <c r="I41" s="85" t="s">
        <v>88</v>
      </c>
      <c r="J41" s="92"/>
      <c r="K41" s="35"/>
    </row>
    <row r="42" hidden="1">
      <c r="A42" s="80" t="s">
        <v>14</v>
      </c>
      <c r="B42" s="70" t="s">
        <v>88</v>
      </c>
      <c r="C42" s="71" t="s">
        <v>59</v>
      </c>
      <c r="D42" s="81" t="s">
        <v>59</v>
      </c>
      <c r="E42" s="88"/>
      <c r="F42" s="71" t="s">
        <v>58</v>
      </c>
      <c r="G42" s="162">
        <f>G41</f>
        <v>156669.215</v>
      </c>
      <c r="H42" s="82" t="str">
        <f>VLOOKUP(B42,'Abril Data'!A:D,4,FALSE)</f>
        <v>UESP1780</v>
      </c>
      <c r="I42" s="87" t="s">
        <v>88</v>
      </c>
      <c r="J42" s="83"/>
      <c r="K42" s="35"/>
    </row>
    <row r="43">
      <c r="A43" s="28" t="s">
        <v>16</v>
      </c>
      <c r="B43" s="27" t="s">
        <v>89</v>
      </c>
      <c r="C43" s="28" t="s">
        <v>58</v>
      </c>
      <c r="D43" s="29" t="s">
        <v>69</v>
      </c>
      <c r="E43" s="30" t="s">
        <v>82</v>
      </c>
      <c r="F43" s="135" t="s">
        <v>71</v>
      </c>
      <c r="G43" s="156">
        <f>SUMIFS('Abril Data'!C:C,'Abril Data'!A:A,B43,'Abril Data'!B:B,F43)</f>
        <v>2617489.68</v>
      </c>
      <c r="H43" s="32" t="str">
        <f>VLOOKUP(B43,'Abril Data'!A:D,4,FALSE)</f>
        <v>UESP1766</v>
      </c>
      <c r="I43" s="85" t="s">
        <v>89</v>
      </c>
      <c r="J43" s="85">
        <f>J38+1</f>
        <v>775</v>
      </c>
      <c r="K43" s="35"/>
    </row>
    <row r="44" hidden="1">
      <c r="A44" s="71" t="s">
        <v>16</v>
      </c>
      <c r="B44" s="70" t="s">
        <v>89</v>
      </c>
      <c r="C44" s="71" t="s">
        <v>58</v>
      </c>
      <c r="D44" s="72" t="s">
        <v>69</v>
      </c>
      <c r="E44" s="73" t="s">
        <v>82</v>
      </c>
      <c r="F44" s="81" t="s">
        <v>73</v>
      </c>
      <c r="G44" s="162">
        <f>SUMIFS('Abril Data'!C:C,'Abril Data'!A:A,B44,'Abril Data'!B:B,F44)</f>
        <v>498227.47</v>
      </c>
      <c r="H44" s="82" t="str">
        <f>VLOOKUP(B44,'Abril Data'!A:D,4,FALSE)</f>
        <v>UESP1766</v>
      </c>
      <c r="I44" s="87" t="s">
        <v>89</v>
      </c>
      <c r="J44" s="83"/>
      <c r="K44" s="35"/>
    </row>
    <row r="45" hidden="1">
      <c r="A45" s="50" t="s">
        <v>16</v>
      </c>
      <c r="B45" s="40" t="s">
        <v>89</v>
      </c>
      <c r="C45" s="41" t="s">
        <v>58</v>
      </c>
      <c r="D45" s="50" t="s">
        <v>69</v>
      </c>
      <c r="E45" s="51" t="s">
        <v>82</v>
      </c>
      <c r="F45" s="50" t="s">
        <v>74</v>
      </c>
      <c r="G45" s="158">
        <f>G44+G43</f>
        <v>3115717.15</v>
      </c>
      <c r="H45" s="53" t="str">
        <f>VLOOKUP(B45,'Abril Data'!A:D,4,FALSE)</f>
        <v>UESP1766</v>
      </c>
      <c r="I45" s="78"/>
      <c r="J45" s="78"/>
      <c r="K45" s="35"/>
    </row>
    <row r="46" hidden="1">
      <c r="A46" s="91" t="s">
        <v>16</v>
      </c>
      <c r="B46" s="27" t="s">
        <v>89</v>
      </c>
      <c r="C46" s="28" t="s">
        <v>59</v>
      </c>
      <c r="D46" s="56" t="s">
        <v>59</v>
      </c>
      <c r="E46" s="88"/>
      <c r="F46" s="41" t="s">
        <v>75</v>
      </c>
      <c r="G46" s="157">
        <f>G45*5%</f>
        <v>155785.8575</v>
      </c>
      <c r="H46" s="45" t="str">
        <f>VLOOKUP(B46,'Abril Data'!A:D,4,FALSE)</f>
        <v>UESP1766</v>
      </c>
      <c r="I46" s="85" t="s">
        <v>89</v>
      </c>
      <c r="J46" s="92"/>
      <c r="K46" s="35"/>
    </row>
    <row r="47" hidden="1">
      <c r="A47" s="37" t="s">
        <v>16</v>
      </c>
      <c r="B47" s="40" t="s">
        <v>89</v>
      </c>
      <c r="C47" s="41" t="s">
        <v>59</v>
      </c>
      <c r="D47" s="56" t="s">
        <v>59</v>
      </c>
      <c r="E47" s="88"/>
      <c r="F47" s="41" t="s">
        <v>58</v>
      </c>
      <c r="G47" s="157">
        <f>G46</f>
        <v>155785.8575</v>
      </c>
      <c r="H47" s="45" t="str">
        <f>VLOOKUP(B47,'Abril Data'!A:D,4,FALSE)</f>
        <v>UESP1766</v>
      </c>
      <c r="I47" s="89" t="s">
        <v>89</v>
      </c>
      <c r="J47" s="79"/>
      <c r="K47" s="35"/>
    </row>
    <row r="48">
      <c r="A48" s="28" t="s">
        <v>42</v>
      </c>
      <c r="B48" s="27" t="s">
        <v>90</v>
      </c>
      <c r="C48" s="28" t="s">
        <v>58</v>
      </c>
      <c r="D48" s="29" t="s">
        <v>69</v>
      </c>
      <c r="E48" s="30" t="s">
        <v>82</v>
      </c>
      <c r="F48" s="135" t="s">
        <v>71</v>
      </c>
      <c r="G48" s="159">
        <f>SUMIFS('Abril Data'!C:C,'Abril Data'!A:A,B48,'Abril Data'!B:B,F48)</f>
        <v>3378347.95</v>
      </c>
      <c r="H48" s="63" t="str">
        <f>VLOOKUP(B48,'Abril Data'!A:D,4,FALSE)</f>
        <v>UESP1777</v>
      </c>
      <c r="I48" s="85" t="s">
        <v>90</v>
      </c>
      <c r="J48" s="85">
        <f>J43+1</f>
        <v>776</v>
      </c>
      <c r="K48" s="35"/>
    </row>
    <row r="49" hidden="1">
      <c r="A49" s="41" t="s">
        <v>42</v>
      </c>
      <c r="B49" s="40" t="s">
        <v>90</v>
      </c>
      <c r="C49" s="41" t="s">
        <v>72</v>
      </c>
      <c r="D49" s="42" t="s">
        <v>69</v>
      </c>
      <c r="E49" s="43" t="s">
        <v>82</v>
      </c>
      <c r="F49" s="56" t="s">
        <v>73</v>
      </c>
      <c r="G49" s="160">
        <f>SUMIFS('Abril Data'!C:C,'Abril Data'!A:A,B49,'Abril Data'!B:B,F49)</f>
        <v>25892.95</v>
      </c>
      <c r="H49" s="66" t="str">
        <f>VLOOKUP(B49,'Abril Data'!A:D,4,FALSE)</f>
        <v>UESP1777</v>
      </c>
      <c r="I49" s="89" t="s">
        <v>90</v>
      </c>
      <c r="J49" s="79"/>
      <c r="K49" s="35"/>
    </row>
    <row r="50" hidden="1">
      <c r="A50" s="71" t="s">
        <v>42</v>
      </c>
      <c r="B50" s="70" t="s">
        <v>90</v>
      </c>
      <c r="C50" s="71" t="s">
        <v>72</v>
      </c>
      <c r="D50" s="72" t="s">
        <v>69</v>
      </c>
      <c r="E50" s="73"/>
      <c r="F50" s="81" t="s">
        <v>80</v>
      </c>
      <c r="G50" s="160">
        <f>(G48+G49)*4%</f>
        <v>136169.636</v>
      </c>
      <c r="H50" s="66" t="str">
        <f>VLOOKUP(B50,'Abril Data'!A:D,4,FALSE)</f>
        <v>UESP1777</v>
      </c>
      <c r="I50" s="87" t="s">
        <v>90</v>
      </c>
      <c r="J50" s="83"/>
      <c r="K50" s="35"/>
    </row>
    <row r="51" hidden="1">
      <c r="A51" s="50" t="s">
        <v>42</v>
      </c>
      <c r="B51" s="40" t="s">
        <v>90</v>
      </c>
      <c r="C51" s="41" t="s">
        <v>72</v>
      </c>
      <c r="D51" s="50" t="s">
        <v>69</v>
      </c>
      <c r="E51" s="51" t="s">
        <v>82</v>
      </c>
      <c r="F51" s="50" t="s">
        <v>74</v>
      </c>
      <c r="G51" s="158">
        <f>G48+G49-G50</f>
        <v>3268071.264</v>
      </c>
      <c r="H51" s="53" t="str">
        <f>VLOOKUP(B51,'Abril Data'!A:D,4,FALSE)</f>
        <v>UESP1777</v>
      </c>
      <c r="I51" s="78"/>
      <c r="J51" s="78"/>
      <c r="K51" s="35"/>
    </row>
    <row r="52" hidden="1">
      <c r="A52" s="91" t="s">
        <v>42</v>
      </c>
      <c r="B52" s="27" t="s">
        <v>90</v>
      </c>
      <c r="C52" s="28" t="s">
        <v>59</v>
      </c>
      <c r="D52" s="56" t="s">
        <v>59</v>
      </c>
      <c r="E52" s="88"/>
      <c r="F52" s="41" t="s">
        <v>75</v>
      </c>
      <c r="G52" s="157">
        <f>G51*5%</f>
        <v>163403.5632</v>
      </c>
      <c r="H52" s="45" t="str">
        <f>VLOOKUP(B52,'Abril Data'!A:D,4,FALSE)</f>
        <v>UESP1777</v>
      </c>
      <c r="I52" s="85" t="s">
        <v>90</v>
      </c>
      <c r="J52" s="92"/>
      <c r="K52" s="35"/>
    </row>
    <row r="53" hidden="1">
      <c r="A53" s="37" t="s">
        <v>42</v>
      </c>
      <c r="B53" s="40" t="s">
        <v>90</v>
      </c>
      <c r="C53" s="41" t="s">
        <v>59</v>
      </c>
      <c r="D53" s="56" t="s">
        <v>59</v>
      </c>
      <c r="E53" s="88"/>
      <c r="F53" s="41" t="s">
        <v>58</v>
      </c>
      <c r="G53" s="157">
        <f>G52</f>
        <v>163403.5632</v>
      </c>
      <c r="H53" s="45" t="str">
        <f>VLOOKUP(B53,'Abril Data'!A:D,4,FALSE)</f>
        <v>UESP1777</v>
      </c>
      <c r="I53" s="89" t="s">
        <v>90</v>
      </c>
      <c r="J53" s="79"/>
      <c r="K53" s="35"/>
    </row>
    <row r="54">
      <c r="A54" s="28" t="s">
        <v>18</v>
      </c>
      <c r="B54" s="27" t="s">
        <v>91</v>
      </c>
      <c r="C54" s="28" t="s">
        <v>58</v>
      </c>
      <c r="D54" s="29" t="s">
        <v>69</v>
      </c>
      <c r="E54" s="30" t="s">
        <v>92</v>
      </c>
      <c r="F54" s="135" t="s">
        <v>71</v>
      </c>
      <c r="G54" s="159">
        <f>SUMIFS('Abril Data'!C:C,'Abril Data'!A:A,B54,'Abril Data'!B:B,F54)</f>
        <v>1660537.39</v>
      </c>
      <c r="H54" s="63" t="str">
        <f>VLOOKUP(B54,'Abril Data'!A:D,4,FALSE)</f>
        <v>UESP1769</v>
      </c>
      <c r="I54" s="85" t="s">
        <v>91</v>
      </c>
      <c r="J54" s="85">
        <f>J48+1</f>
        <v>777</v>
      </c>
      <c r="K54" s="35"/>
    </row>
    <row r="55" hidden="1">
      <c r="A55" s="41" t="s">
        <v>18</v>
      </c>
      <c r="B55" s="40" t="s">
        <v>91</v>
      </c>
      <c r="C55" s="41" t="s">
        <v>72</v>
      </c>
      <c r="D55" s="42" t="s">
        <v>69</v>
      </c>
      <c r="E55" s="43" t="s">
        <v>92</v>
      </c>
      <c r="F55" s="56" t="s">
        <v>73</v>
      </c>
      <c r="G55" s="160">
        <f>SUMIFS('Abril Data'!C:C,'Abril Data'!A:A,B55,'Abril Data'!B:B,F55)</f>
        <v>8807.24</v>
      </c>
      <c r="H55" s="66" t="str">
        <f>VLOOKUP(B55,'Abril Data'!A:D,4,FALSE)</f>
        <v>UESP1769</v>
      </c>
      <c r="I55" s="89" t="s">
        <v>91</v>
      </c>
      <c r="J55" s="79"/>
      <c r="K55" s="35"/>
    </row>
    <row r="56" hidden="1">
      <c r="A56" s="71" t="s">
        <v>18</v>
      </c>
      <c r="B56" s="70" t="s">
        <v>91</v>
      </c>
      <c r="C56" s="71" t="s">
        <v>72</v>
      </c>
      <c r="D56" s="72" t="s">
        <v>69</v>
      </c>
      <c r="E56" s="73" t="s">
        <v>92</v>
      </c>
      <c r="F56" s="81" t="s">
        <v>80</v>
      </c>
      <c r="G56" s="160">
        <f>(G54+G55)*2.5%</f>
        <v>41733.61575</v>
      </c>
      <c r="H56" s="66" t="str">
        <f>VLOOKUP(B56,'Abril Data'!A:D,4,FALSE)</f>
        <v>UESP1769</v>
      </c>
      <c r="I56" s="87" t="s">
        <v>91</v>
      </c>
      <c r="J56" s="83"/>
      <c r="K56" s="35"/>
    </row>
    <row r="57" hidden="1">
      <c r="A57" s="50" t="s">
        <v>18</v>
      </c>
      <c r="B57" s="40" t="s">
        <v>91</v>
      </c>
      <c r="C57" s="41" t="s">
        <v>72</v>
      </c>
      <c r="D57" s="50" t="s">
        <v>69</v>
      </c>
      <c r="E57" s="51" t="s">
        <v>92</v>
      </c>
      <c r="F57" s="50" t="s">
        <v>74</v>
      </c>
      <c r="G57" s="158">
        <f>G54+G55-G56</f>
        <v>1627611.014</v>
      </c>
      <c r="H57" s="53"/>
      <c r="I57" s="78"/>
      <c r="J57" s="78"/>
      <c r="K57" s="35"/>
    </row>
    <row r="58" hidden="1">
      <c r="A58" s="91" t="s">
        <v>18</v>
      </c>
      <c r="B58" s="27" t="s">
        <v>91</v>
      </c>
      <c r="C58" s="28" t="s">
        <v>59</v>
      </c>
      <c r="D58" s="56" t="s">
        <v>59</v>
      </c>
      <c r="E58" s="88"/>
      <c r="F58" s="41" t="s">
        <v>75</v>
      </c>
      <c r="G58" s="157">
        <f>G57*5%</f>
        <v>81380.55071</v>
      </c>
      <c r="H58" s="45" t="str">
        <f>VLOOKUP(B58,'Abril Data'!A:D,4,FALSE)</f>
        <v>UESP1769</v>
      </c>
      <c r="I58" s="85" t="s">
        <v>91</v>
      </c>
      <c r="J58" s="92"/>
      <c r="K58" s="35"/>
    </row>
    <row r="59" hidden="1">
      <c r="A59" s="37" t="s">
        <v>18</v>
      </c>
      <c r="B59" s="40" t="s">
        <v>91</v>
      </c>
      <c r="C59" s="41" t="s">
        <v>59</v>
      </c>
      <c r="D59" s="56" t="s">
        <v>59</v>
      </c>
      <c r="E59" s="88"/>
      <c r="F59" s="41" t="s">
        <v>58</v>
      </c>
      <c r="G59" s="157">
        <f>G58</f>
        <v>81380.55071</v>
      </c>
      <c r="H59" s="45" t="str">
        <f>VLOOKUP(B59,'Abril Data'!A:D,4,FALSE)</f>
        <v>UESP1769</v>
      </c>
      <c r="I59" s="89" t="s">
        <v>91</v>
      </c>
      <c r="J59" s="79"/>
      <c r="K59" s="35"/>
    </row>
    <row r="60" ht="15.0" customHeight="1">
      <c r="A60" s="28" t="s">
        <v>20</v>
      </c>
      <c r="B60" s="27" t="s">
        <v>138</v>
      </c>
      <c r="C60" s="28" t="s">
        <v>58</v>
      </c>
      <c r="D60" s="29" t="s">
        <v>69</v>
      </c>
      <c r="E60" s="30" t="s">
        <v>82</v>
      </c>
      <c r="F60" s="135" t="s">
        <v>71</v>
      </c>
      <c r="G60" s="159">
        <f>SUMIFS('Abril Data'!C:C,'Abril Data'!A:A,B60,'Abril Data'!B:B,F60)</f>
        <v>1925343.49</v>
      </c>
      <c r="H60" s="63" t="str">
        <f>VLOOKUP(B60,'Abril Data'!A:D,4,FALSE)</f>
        <v>UESP1771</v>
      </c>
      <c r="I60" s="85" t="s">
        <v>138</v>
      </c>
      <c r="J60" s="85">
        <f>J54+1</f>
        <v>778</v>
      </c>
      <c r="K60" s="35"/>
    </row>
    <row r="61" ht="14.25" hidden="1" customHeight="1">
      <c r="A61" s="41" t="s">
        <v>20</v>
      </c>
      <c r="B61" s="40" t="s">
        <v>138</v>
      </c>
      <c r="C61" s="41" t="s">
        <v>72</v>
      </c>
      <c r="D61" s="42" t="s">
        <v>69</v>
      </c>
      <c r="E61" s="43" t="s">
        <v>82</v>
      </c>
      <c r="F61" s="56" t="s">
        <v>73</v>
      </c>
      <c r="G61" s="160">
        <f>SUMIFS('Abril Data'!C:C,'Abril Data'!A:A,B61,'Abril Data'!B:B,F61)</f>
        <v>0</v>
      </c>
      <c r="H61" s="66" t="str">
        <f>VLOOKUP(B61,'Abril Data'!A:D,4,FALSE)</f>
        <v>UESP1771</v>
      </c>
      <c r="I61" s="89" t="s">
        <v>138</v>
      </c>
      <c r="J61" s="79"/>
      <c r="K61" s="35"/>
    </row>
    <row r="62" ht="14.25" hidden="1" customHeight="1">
      <c r="A62" s="71" t="s">
        <v>20</v>
      </c>
      <c r="B62" s="70" t="s">
        <v>138</v>
      </c>
      <c r="C62" s="71" t="s">
        <v>72</v>
      </c>
      <c r="D62" s="72" t="s">
        <v>69</v>
      </c>
      <c r="E62" s="73"/>
      <c r="F62" s="81" t="s">
        <v>80</v>
      </c>
      <c r="G62" s="160">
        <f>(G60+G61)*2.5%</f>
        <v>48133.58725</v>
      </c>
      <c r="H62" s="66" t="str">
        <f>VLOOKUP(B62,'Abril Data'!A:D,4,FALSE)</f>
        <v>UESP1771</v>
      </c>
      <c r="I62" s="87" t="s">
        <v>138</v>
      </c>
      <c r="J62" s="83"/>
      <c r="K62" s="35"/>
    </row>
    <row r="63" ht="13.5" hidden="1" customHeight="1">
      <c r="A63" s="50" t="s">
        <v>20</v>
      </c>
      <c r="B63" s="40" t="s">
        <v>138</v>
      </c>
      <c r="C63" s="41" t="s">
        <v>72</v>
      </c>
      <c r="D63" s="50" t="s">
        <v>69</v>
      </c>
      <c r="E63" s="51" t="s">
        <v>82</v>
      </c>
      <c r="F63" s="50" t="s">
        <v>74</v>
      </c>
      <c r="G63" s="165">
        <f>G60+G61-G62</f>
        <v>1877209.903</v>
      </c>
      <c r="H63" s="97" t="str">
        <f>VLOOKUP(B63,'Abril Data'!A:D,4,FALSE)</f>
        <v>UESP1771</v>
      </c>
      <c r="I63" s="78"/>
      <c r="J63" s="78"/>
      <c r="K63" s="35"/>
    </row>
    <row r="64" ht="15.0" hidden="1" customHeight="1">
      <c r="A64" s="91" t="s">
        <v>20</v>
      </c>
      <c r="B64" s="27" t="s">
        <v>138</v>
      </c>
      <c r="C64" s="28" t="s">
        <v>59</v>
      </c>
      <c r="D64" s="56" t="s">
        <v>59</v>
      </c>
      <c r="E64" s="88"/>
      <c r="F64" s="41" t="s">
        <v>75</v>
      </c>
      <c r="G64" s="157">
        <f>G63*5%</f>
        <v>93860.49514</v>
      </c>
      <c r="H64" s="45" t="str">
        <f>VLOOKUP(B64,'Abril Data'!A:D,4,FALSE)</f>
        <v>UESP1771</v>
      </c>
      <c r="I64" s="85" t="s">
        <v>138</v>
      </c>
      <c r="J64" s="92"/>
      <c r="K64" s="35"/>
    </row>
    <row r="65" ht="18.0" hidden="1" customHeight="1">
      <c r="A65" s="80" t="s">
        <v>20</v>
      </c>
      <c r="B65" s="70" t="s">
        <v>138</v>
      </c>
      <c r="C65" s="71" t="s">
        <v>59</v>
      </c>
      <c r="D65" s="81" t="s">
        <v>59</v>
      </c>
      <c r="E65" s="88"/>
      <c r="F65" s="71" t="s">
        <v>58</v>
      </c>
      <c r="G65" s="162">
        <f>G64</f>
        <v>93860.49514</v>
      </c>
      <c r="H65" s="82" t="str">
        <f>VLOOKUP(B65,'Abril Data'!A:D,4,FALSE)</f>
        <v>UESP1771</v>
      </c>
      <c r="I65" s="87" t="s">
        <v>138</v>
      </c>
      <c r="J65" s="83"/>
      <c r="K65" s="35"/>
    </row>
    <row r="66">
      <c r="A66" s="28" t="s">
        <v>22</v>
      </c>
      <c r="B66" s="27" t="s">
        <v>94</v>
      </c>
      <c r="C66" s="28" t="s">
        <v>58</v>
      </c>
      <c r="D66" s="29" t="s">
        <v>69</v>
      </c>
      <c r="E66" s="30" t="s">
        <v>92</v>
      </c>
      <c r="F66" s="135" t="s">
        <v>71</v>
      </c>
      <c r="G66" s="156">
        <f>SUMIFS('Abril Data'!C:C,'Abril Data'!A:A,B66,'Abril Data'!B:B,F66)</f>
        <v>3173435.11</v>
      </c>
      <c r="H66" s="32" t="str">
        <f>VLOOKUP(B66,'Abril Data'!A:D,4,FALSE)</f>
        <v>UESP1773</v>
      </c>
      <c r="I66" s="87" t="s">
        <v>94</v>
      </c>
      <c r="J66" s="85">
        <f>J60+1</f>
        <v>779</v>
      </c>
      <c r="K66" s="35"/>
    </row>
    <row r="67" hidden="1">
      <c r="A67" s="71" t="s">
        <v>22</v>
      </c>
      <c r="B67" s="70" t="s">
        <v>94</v>
      </c>
      <c r="C67" s="71" t="s">
        <v>72</v>
      </c>
      <c r="D67" s="72" t="s">
        <v>69</v>
      </c>
      <c r="E67" s="73" t="s">
        <v>92</v>
      </c>
      <c r="F67" s="81" t="s">
        <v>73</v>
      </c>
      <c r="G67" s="162">
        <f>SUMIFS('Abril Data'!C:C,'Abril Data'!A:A,B67,'Abril Data'!B:B,F67)</f>
        <v>66552.49</v>
      </c>
      <c r="H67" s="82" t="str">
        <f>VLOOKUP(B67,'Abril Data'!A:D,4,FALSE)</f>
        <v>UESP1773</v>
      </c>
      <c r="I67" s="87" t="s">
        <v>94</v>
      </c>
      <c r="J67" s="83"/>
      <c r="K67" s="35"/>
    </row>
    <row r="68" hidden="1">
      <c r="A68" s="50" t="s">
        <v>22</v>
      </c>
      <c r="B68" s="40" t="s">
        <v>94</v>
      </c>
      <c r="C68" s="41" t="s">
        <v>72</v>
      </c>
      <c r="D68" s="50" t="s">
        <v>69</v>
      </c>
      <c r="E68" s="51" t="s">
        <v>92</v>
      </c>
      <c r="F68" s="50" t="s">
        <v>74</v>
      </c>
      <c r="G68" s="165">
        <f>G67+G66</f>
        <v>3239987.6</v>
      </c>
      <c r="H68" s="97" t="str">
        <f>VLOOKUP(B68,'Abril Data'!A:D,4,FALSE)</f>
        <v>UESP1773</v>
      </c>
      <c r="I68" s="78"/>
      <c r="J68" s="78"/>
      <c r="K68" s="35"/>
    </row>
    <row r="69" hidden="1">
      <c r="A69" s="91" t="s">
        <v>22</v>
      </c>
      <c r="B69" s="27" t="s">
        <v>94</v>
      </c>
      <c r="C69" s="28" t="s">
        <v>59</v>
      </c>
      <c r="D69" s="56" t="s">
        <v>59</v>
      </c>
      <c r="E69" s="88"/>
      <c r="F69" s="41" t="s">
        <v>75</v>
      </c>
      <c r="G69" s="157">
        <f>G68*5%</f>
        <v>161999.38</v>
      </c>
      <c r="H69" s="45" t="str">
        <f>VLOOKUP(B69,'Abril Data'!A:D,4,FALSE)</f>
        <v>UESP1773</v>
      </c>
      <c r="I69" s="87" t="s">
        <v>94</v>
      </c>
      <c r="J69" s="92"/>
      <c r="K69" s="35"/>
    </row>
    <row r="70" hidden="1">
      <c r="A70" s="80" t="s">
        <v>22</v>
      </c>
      <c r="B70" s="70" t="s">
        <v>94</v>
      </c>
      <c r="C70" s="71" t="s">
        <v>59</v>
      </c>
      <c r="D70" s="81" t="s">
        <v>59</v>
      </c>
      <c r="E70" s="88"/>
      <c r="F70" s="71" t="s">
        <v>58</v>
      </c>
      <c r="G70" s="162">
        <f>G69</f>
        <v>161999.38</v>
      </c>
      <c r="H70" s="82" t="str">
        <f>VLOOKUP(B70,'Abril Data'!A:D,4,FALSE)</f>
        <v>UESP1773</v>
      </c>
      <c r="I70" s="87" t="s">
        <v>94</v>
      </c>
      <c r="J70" s="83"/>
      <c r="K70" s="35"/>
    </row>
    <row r="71">
      <c r="A71" s="28" t="s">
        <v>24</v>
      </c>
      <c r="B71" s="27" t="s">
        <v>95</v>
      </c>
      <c r="C71" s="28" t="s">
        <v>58</v>
      </c>
      <c r="D71" s="28" t="s">
        <v>69</v>
      </c>
      <c r="E71" s="30" t="s">
        <v>96</v>
      </c>
      <c r="F71" s="135" t="s">
        <v>71</v>
      </c>
      <c r="G71" s="156">
        <f>SUMIFS('Abril Data'!C:C,'Abril Data'!A:A,B71,'Abril Data'!B:B,F71)</f>
        <v>2977236.31</v>
      </c>
      <c r="H71" s="32" t="str">
        <f>VLOOKUP(B71,'Abril Data'!A:D,4,FALSE)</f>
        <v>UESP1775</v>
      </c>
      <c r="I71" s="85" t="s">
        <v>95</v>
      </c>
      <c r="J71" s="85">
        <f>J66+1</f>
        <v>780</v>
      </c>
      <c r="K71" s="35"/>
    </row>
    <row r="72" hidden="1">
      <c r="A72" s="71" t="s">
        <v>24</v>
      </c>
      <c r="B72" s="70" t="s">
        <v>95</v>
      </c>
      <c r="C72" s="71" t="s">
        <v>72</v>
      </c>
      <c r="D72" s="71" t="s">
        <v>69</v>
      </c>
      <c r="E72" s="73" t="s">
        <v>96</v>
      </c>
      <c r="F72" s="81" t="s">
        <v>73</v>
      </c>
      <c r="G72" s="162">
        <f>SUMIFS('Abril Data'!C:C,'Abril Data'!A:A,B72,'Abril Data'!B:B,F72)</f>
        <v>0</v>
      </c>
      <c r="H72" s="82" t="str">
        <f>VLOOKUP(B72,'Abril Data'!A:D,4,FALSE)</f>
        <v>UESP1775</v>
      </c>
      <c r="I72" s="87" t="s">
        <v>95</v>
      </c>
      <c r="J72" s="83"/>
      <c r="K72" s="35"/>
    </row>
    <row r="73" hidden="1">
      <c r="A73" s="50" t="s">
        <v>24</v>
      </c>
      <c r="B73" s="40" t="s">
        <v>95</v>
      </c>
      <c r="C73" s="41" t="s">
        <v>72</v>
      </c>
      <c r="D73" s="50" t="s">
        <v>69</v>
      </c>
      <c r="E73" s="51" t="s">
        <v>96</v>
      </c>
      <c r="F73" s="50" t="s">
        <v>74</v>
      </c>
      <c r="G73" s="165">
        <f>G72+G71</f>
        <v>2977236.31</v>
      </c>
      <c r="H73" s="97" t="str">
        <f>VLOOKUP(B73,'Abril Data'!A:D,4,FALSE)</f>
        <v>UESP1775</v>
      </c>
      <c r="I73" s="78"/>
      <c r="J73" s="78"/>
      <c r="K73" s="35"/>
    </row>
    <row r="74" hidden="1">
      <c r="A74" s="91" t="s">
        <v>24</v>
      </c>
      <c r="B74" s="27" t="s">
        <v>95</v>
      </c>
      <c r="C74" s="28" t="s">
        <v>59</v>
      </c>
      <c r="D74" s="56" t="s">
        <v>59</v>
      </c>
      <c r="E74" s="88"/>
      <c r="F74" s="41" t="s">
        <v>75</v>
      </c>
      <c r="G74" s="157">
        <f>G73*5%</f>
        <v>148861.8155</v>
      </c>
      <c r="H74" s="45" t="str">
        <f>VLOOKUP(B74,'Abril Data'!A:D,4,FALSE)</f>
        <v>UESP1775</v>
      </c>
      <c r="I74" s="85" t="s">
        <v>95</v>
      </c>
      <c r="J74" s="92"/>
      <c r="K74" s="35"/>
    </row>
    <row r="75" hidden="1">
      <c r="A75" s="37" t="s">
        <v>24</v>
      </c>
      <c r="B75" s="40" t="s">
        <v>95</v>
      </c>
      <c r="C75" s="41" t="s">
        <v>59</v>
      </c>
      <c r="D75" s="56" t="s">
        <v>59</v>
      </c>
      <c r="E75" s="88"/>
      <c r="F75" s="41" t="s">
        <v>58</v>
      </c>
      <c r="G75" s="157">
        <f>G74</f>
        <v>148861.8155</v>
      </c>
      <c r="H75" s="45" t="str">
        <f>VLOOKUP(B75,'Abril Data'!A:D,4,FALSE)</f>
        <v>UESP1775</v>
      </c>
      <c r="I75" s="89" t="s">
        <v>95</v>
      </c>
      <c r="J75" s="79"/>
      <c r="K75" s="35"/>
    </row>
    <row r="76">
      <c r="A76" s="28" t="s">
        <v>26</v>
      </c>
      <c r="B76" s="27" t="s">
        <v>97</v>
      </c>
      <c r="C76" s="28" t="s">
        <v>58</v>
      </c>
      <c r="D76" s="29" t="s">
        <v>69</v>
      </c>
      <c r="E76" s="30" t="s">
        <v>82</v>
      </c>
      <c r="F76" s="135" t="s">
        <v>71</v>
      </c>
      <c r="G76" s="159">
        <f>SUMIFS('Abril Data'!C:C,'Abril Data'!A:A,B76,'Abril Data'!B:B,F76)</f>
        <v>3245814.18</v>
      </c>
      <c r="H76" s="63" t="str">
        <f>VLOOKUP(B76,'Abril Data'!A:D,4,FALSE)</f>
        <v>UESP1768</v>
      </c>
      <c r="I76" s="85" t="s">
        <v>97</v>
      </c>
      <c r="J76" s="85">
        <f>J71+1</f>
        <v>781</v>
      </c>
      <c r="K76" s="35"/>
    </row>
    <row r="77" hidden="1">
      <c r="A77" s="41" t="s">
        <v>26</v>
      </c>
      <c r="B77" s="40" t="s">
        <v>97</v>
      </c>
      <c r="C77" s="41" t="s">
        <v>72</v>
      </c>
      <c r="D77" s="42" t="s">
        <v>69</v>
      </c>
      <c r="E77" s="43" t="s">
        <v>82</v>
      </c>
      <c r="F77" s="56" t="s">
        <v>73</v>
      </c>
      <c r="G77" s="160">
        <f>SUMIFS('Abril Data'!C:C,'Abril Data'!A:A,B77,'Abril Data'!B:B,F77)</f>
        <v>10161.45</v>
      </c>
      <c r="H77" s="66" t="str">
        <f>VLOOKUP(B77,'Abril Data'!A:D,4,FALSE)</f>
        <v>UESP1768</v>
      </c>
      <c r="I77" s="89" t="s">
        <v>97</v>
      </c>
      <c r="J77" s="79"/>
      <c r="K77" s="35"/>
    </row>
    <row r="78" hidden="1">
      <c r="A78" s="71" t="s">
        <v>26</v>
      </c>
      <c r="B78" s="70" t="s">
        <v>97</v>
      </c>
      <c r="C78" s="71" t="s">
        <v>72</v>
      </c>
      <c r="D78" s="72" t="s">
        <v>69</v>
      </c>
      <c r="E78" s="73"/>
      <c r="F78" s="81" t="s">
        <v>80</v>
      </c>
      <c r="G78" s="160">
        <f>(G76+G77)*2.5%</f>
        <v>81399.39075</v>
      </c>
      <c r="H78" s="66" t="str">
        <f>VLOOKUP(B78,'Abril Data'!A:D,4,FALSE)</f>
        <v>UESP1768</v>
      </c>
      <c r="I78" s="87" t="s">
        <v>97</v>
      </c>
      <c r="J78" s="83"/>
      <c r="K78" s="35"/>
    </row>
    <row r="79" hidden="1">
      <c r="A79" s="50" t="s">
        <v>26</v>
      </c>
      <c r="B79" s="40" t="s">
        <v>97</v>
      </c>
      <c r="C79" s="41" t="s">
        <v>72</v>
      </c>
      <c r="D79" s="50" t="s">
        <v>69</v>
      </c>
      <c r="E79" s="51" t="s">
        <v>82</v>
      </c>
      <c r="F79" s="50" t="s">
        <v>74</v>
      </c>
      <c r="G79" s="165">
        <f>G76+G77-G78</f>
        <v>3174576.239</v>
      </c>
      <c r="H79" s="97" t="str">
        <f>VLOOKUP(B79,'Abril Data'!A:D,4,FALSE)</f>
        <v>UESP1768</v>
      </c>
      <c r="I79" s="78"/>
      <c r="J79" s="78"/>
      <c r="K79" s="35"/>
    </row>
    <row r="80" hidden="1">
      <c r="A80" s="102" t="s">
        <v>26</v>
      </c>
      <c r="B80" s="27" t="s">
        <v>97</v>
      </c>
      <c r="C80" s="28" t="s">
        <v>59</v>
      </c>
      <c r="D80" s="56" t="s">
        <v>59</v>
      </c>
      <c r="E80" s="88"/>
      <c r="F80" s="41" t="s">
        <v>75</v>
      </c>
      <c r="G80" s="157">
        <f>G79*5%</f>
        <v>158728.812</v>
      </c>
      <c r="H80" s="45" t="str">
        <f>VLOOKUP(B80,'Abril Data'!A:D,4,FALSE)</f>
        <v>UESP1768</v>
      </c>
      <c r="I80" s="85" t="s">
        <v>97</v>
      </c>
      <c r="J80" s="92"/>
      <c r="K80" s="35"/>
    </row>
    <row r="81" hidden="1">
      <c r="A81" s="103" t="s">
        <v>26</v>
      </c>
      <c r="B81" s="40" t="s">
        <v>97</v>
      </c>
      <c r="C81" s="41" t="s">
        <v>59</v>
      </c>
      <c r="D81" s="56" t="s">
        <v>59</v>
      </c>
      <c r="E81" s="88"/>
      <c r="F81" s="41" t="s">
        <v>58</v>
      </c>
      <c r="G81" s="157">
        <f>G80</f>
        <v>158728.812</v>
      </c>
      <c r="H81" s="45" t="str">
        <f>VLOOKUP(B81,'Abril Data'!A:D,4,FALSE)</f>
        <v>UESP1768</v>
      </c>
      <c r="I81" s="89" t="s">
        <v>97</v>
      </c>
      <c r="J81" s="79"/>
      <c r="K81" s="35"/>
    </row>
    <row r="82">
      <c r="A82" s="28" t="s">
        <v>28</v>
      </c>
      <c r="B82" s="27" t="s">
        <v>98</v>
      </c>
      <c r="C82" s="28" t="s">
        <v>58</v>
      </c>
      <c r="D82" s="29" t="s">
        <v>69</v>
      </c>
      <c r="E82" s="30" t="s">
        <v>99</v>
      </c>
      <c r="F82" s="135" t="s">
        <v>71</v>
      </c>
      <c r="G82" s="159">
        <f>SUMIFS('Abril Data'!C:C,'Abril Data'!A:A,B82,'Abril Data'!B:B,F82)</f>
        <v>2075694.68</v>
      </c>
      <c r="H82" s="63" t="str">
        <f>VLOOKUP(B82,'Abril Data'!A:D,4,FALSE)</f>
        <v>UESP1765</v>
      </c>
      <c r="I82" s="85" t="s">
        <v>98</v>
      </c>
      <c r="J82" s="85">
        <f>J76+1</f>
        <v>782</v>
      </c>
      <c r="K82" s="35"/>
    </row>
    <row r="83" hidden="1">
      <c r="A83" s="41" t="s">
        <v>28</v>
      </c>
      <c r="B83" s="40" t="s">
        <v>98</v>
      </c>
      <c r="C83" s="41" t="s">
        <v>72</v>
      </c>
      <c r="D83" s="42" t="s">
        <v>69</v>
      </c>
      <c r="E83" s="43" t="s">
        <v>99</v>
      </c>
      <c r="F83" s="56" t="s">
        <v>73</v>
      </c>
      <c r="G83" s="160">
        <f>SUMIFS('Abril Data'!C:C,'Abril Data'!A:A,B83,'Abril Data'!B:B,F83)</f>
        <v>611.22</v>
      </c>
      <c r="H83" s="66" t="str">
        <f>VLOOKUP(B83,'Abril Data'!A:D,4,FALSE)</f>
        <v>UESP1765</v>
      </c>
      <c r="I83" s="89" t="s">
        <v>98</v>
      </c>
      <c r="J83" s="79"/>
      <c r="K83" s="35"/>
    </row>
    <row r="84" hidden="1">
      <c r="A84" s="41" t="s">
        <v>28</v>
      </c>
      <c r="B84" s="40" t="s">
        <v>98</v>
      </c>
      <c r="C84" s="41" t="s">
        <v>72</v>
      </c>
      <c r="D84" s="42" t="s">
        <v>69</v>
      </c>
      <c r="F84" s="56" t="s">
        <v>80</v>
      </c>
      <c r="G84" s="160">
        <f>(G82+G83)*4%</f>
        <v>83052.236</v>
      </c>
      <c r="H84" s="66" t="str">
        <f>VLOOKUP(B84,'Abril Data'!A:D,4,FALSE)</f>
        <v>UESP1765</v>
      </c>
      <c r="I84" s="89" t="s">
        <v>98</v>
      </c>
      <c r="J84" s="79"/>
      <c r="K84" s="35"/>
    </row>
    <row r="85" hidden="1">
      <c r="A85" s="71" t="s">
        <v>28</v>
      </c>
      <c r="B85" s="70" t="s">
        <v>98</v>
      </c>
      <c r="C85" s="71" t="s">
        <v>72</v>
      </c>
      <c r="D85" s="72" t="s">
        <v>69</v>
      </c>
      <c r="E85" s="73"/>
      <c r="F85" s="81" t="s">
        <v>100</v>
      </c>
      <c r="G85" s="160">
        <f>(G82+G83)*0.4%</f>
        <v>8305.2236</v>
      </c>
      <c r="H85" s="66" t="str">
        <f>VLOOKUP(B85,'Abril Data'!A:D,4,FALSE)</f>
        <v>UESP1765</v>
      </c>
      <c r="I85" s="87" t="s">
        <v>98</v>
      </c>
      <c r="J85" s="83"/>
      <c r="K85" s="35"/>
    </row>
    <row r="86" hidden="1">
      <c r="A86" s="50" t="s">
        <v>28</v>
      </c>
      <c r="B86" s="40" t="s">
        <v>98</v>
      </c>
      <c r="C86" s="41" t="s">
        <v>72</v>
      </c>
      <c r="D86" s="50" t="s">
        <v>69</v>
      </c>
      <c r="E86" s="51" t="s">
        <v>99</v>
      </c>
      <c r="F86" s="50" t="s">
        <v>74</v>
      </c>
      <c r="G86" s="165">
        <f>G82+G83-G84-G85</f>
        <v>1984948.44</v>
      </c>
      <c r="H86" s="97" t="str">
        <f>VLOOKUP(B86,'Abril Data'!A:D,4,FALSE)</f>
        <v>UESP1765</v>
      </c>
      <c r="I86" s="78"/>
      <c r="J86" s="78"/>
      <c r="K86" s="35"/>
    </row>
    <row r="87" hidden="1">
      <c r="A87" s="91" t="s">
        <v>28</v>
      </c>
      <c r="B87" s="27" t="s">
        <v>98</v>
      </c>
      <c r="C87" s="28" t="s">
        <v>59</v>
      </c>
      <c r="D87" s="56" t="s">
        <v>59</v>
      </c>
      <c r="E87" s="88"/>
      <c r="F87" s="41" t="s">
        <v>75</v>
      </c>
      <c r="G87" s="157">
        <f>G86*5%</f>
        <v>99247.42202</v>
      </c>
      <c r="H87" s="45" t="str">
        <f>VLOOKUP(B87,'Abril Data'!A:D,4,FALSE)</f>
        <v>UESP1765</v>
      </c>
      <c r="I87" s="85" t="s">
        <v>98</v>
      </c>
      <c r="J87" s="92"/>
      <c r="K87" s="35"/>
    </row>
    <row r="88" hidden="1">
      <c r="A88" s="80" t="s">
        <v>28</v>
      </c>
      <c r="B88" s="70" t="s">
        <v>98</v>
      </c>
      <c r="C88" s="71" t="s">
        <v>59</v>
      </c>
      <c r="D88" s="81" t="s">
        <v>59</v>
      </c>
      <c r="E88" s="88"/>
      <c r="F88" s="71" t="s">
        <v>58</v>
      </c>
      <c r="G88" s="162">
        <f>G87</f>
        <v>99247.42202</v>
      </c>
      <c r="H88" s="82" t="str">
        <f>VLOOKUP(B88,'Abril Data'!A:D,4,FALSE)</f>
        <v>UESP1765</v>
      </c>
      <c r="I88" s="87" t="s">
        <v>98</v>
      </c>
      <c r="J88" s="83"/>
      <c r="K88" s="35"/>
    </row>
    <row r="89">
      <c r="A89" s="28" t="s">
        <v>30</v>
      </c>
      <c r="B89" s="27" t="s">
        <v>101</v>
      </c>
      <c r="C89" s="28" t="s">
        <v>58</v>
      </c>
      <c r="D89" s="29" t="s">
        <v>69</v>
      </c>
      <c r="E89" s="30" t="s">
        <v>102</v>
      </c>
      <c r="F89" s="135" t="s">
        <v>71</v>
      </c>
      <c r="G89" s="156">
        <f>SUMIFS('Abril Data'!C:C,'Abril Data'!A:A,B89,'Abril Data'!B:B,F89)</f>
        <v>4065177.2</v>
      </c>
      <c r="H89" s="32" t="str">
        <f>VLOOKUP(B89,'Abril Data'!A:D,4,FALSE)</f>
        <v>UESP1774</v>
      </c>
      <c r="I89" s="85" t="s">
        <v>101</v>
      </c>
      <c r="J89" s="85">
        <f>J82+1</f>
        <v>783</v>
      </c>
      <c r="K89" s="35"/>
    </row>
    <row r="90" hidden="1">
      <c r="A90" s="71" t="s">
        <v>30</v>
      </c>
      <c r="B90" s="70" t="s">
        <v>101</v>
      </c>
      <c r="C90" s="71" t="s">
        <v>72</v>
      </c>
      <c r="D90" s="72" t="s">
        <v>69</v>
      </c>
      <c r="E90" s="73" t="s">
        <v>102</v>
      </c>
      <c r="F90" s="81" t="s">
        <v>73</v>
      </c>
      <c r="G90" s="162">
        <f>SUMIFS('Abril Data'!C:C,'Abril Data'!A:A,B90,'Abril Data'!B:B,F90)</f>
        <v>26883.56</v>
      </c>
      <c r="H90" s="82" t="str">
        <f>VLOOKUP(B90,'Abril Data'!A:D,4,FALSE)</f>
        <v>UESP1774</v>
      </c>
      <c r="I90" s="87" t="s">
        <v>101</v>
      </c>
      <c r="J90" s="83"/>
      <c r="K90" s="35"/>
    </row>
    <row r="91" hidden="1">
      <c r="A91" s="50" t="s">
        <v>30</v>
      </c>
      <c r="B91" s="40" t="s">
        <v>101</v>
      </c>
      <c r="C91" s="41" t="s">
        <v>72</v>
      </c>
      <c r="D91" s="50" t="s">
        <v>69</v>
      </c>
      <c r="E91" s="51" t="s">
        <v>102</v>
      </c>
      <c r="F91" s="50" t="s">
        <v>74</v>
      </c>
      <c r="G91" s="165">
        <f>G90+G89</f>
        <v>4092060.76</v>
      </c>
      <c r="H91" s="97" t="str">
        <f>VLOOKUP(B91,'Abril Data'!A:D,4,FALSE)</f>
        <v>UESP1774</v>
      </c>
      <c r="I91" s="78"/>
      <c r="J91" s="78"/>
      <c r="K91" s="35"/>
    </row>
    <row r="92" hidden="1">
      <c r="A92" s="91" t="s">
        <v>30</v>
      </c>
      <c r="B92" s="27" t="s">
        <v>101</v>
      </c>
      <c r="C92" s="28" t="s">
        <v>59</v>
      </c>
      <c r="D92" s="56" t="s">
        <v>59</v>
      </c>
      <c r="E92" s="88"/>
      <c r="F92" s="41" t="s">
        <v>75</v>
      </c>
      <c r="G92" s="157">
        <f>G91*5%</f>
        <v>204603.038</v>
      </c>
      <c r="H92" s="45" t="str">
        <f>VLOOKUP(B92,'Abril Data'!A:D,4,FALSE)</f>
        <v>UESP1774</v>
      </c>
      <c r="I92" s="85" t="s">
        <v>101</v>
      </c>
      <c r="J92" s="92"/>
      <c r="K92" s="35"/>
    </row>
    <row r="93" hidden="1">
      <c r="A93" s="80" t="s">
        <v>30</v>
      </c>
      <c r="B93" s="70" t="s">
        <v>101</v>
      </c>
      <c r="C93" s="71" t="s">
        <v>59</v>
      </c>
      <c r="D93" s="81" t="s">
        <v>59</v>
      </c>
      <c r="E93" s="88"/>
      <c r="F93" s="71" t="s">
        <v>58</v>
      </c>
      <c r="G93" s="162">
        <f>G92</f>
        <v>204603.038</v>
      </c>
      <c r="H93" s="82" t="str">
        <f>VLOOKUP(B93,'Abril Data'!A:D,4,FALSE)</f>
        <v>UESP1774</v>
      </c>
      <c r="I93" s="87" t="s">
        <v>101</v>
      </c>
      <c r="J93" s="83"/>
      <c r="K93" s="35"/>
    </row>
    <row r="94">
      <c r="A94" s="28" t="s">
        <v>32</v>
      </c>
      <c r="B94" s="27" t="s">
        <v>103</v>
      </c>
      <c r="C94" s="28" t="s">
        <v>58</v>
      </c>
      <c r="D94" s="29" t="s">
        <v>69</v>
      </c>
      <c r="E94" s="30" t="s">
        <v>104</v>
      </c>
      <c r="F94" s="135" t="s">
        <v>71</v>
      </c>
      <c r="G94" s="156">
        <f>SUMIFS('Abril Data'!C:C,'Abril Data'!A:A,B94,'Abril Data'!B:B,F94)</f>
        <v>2030147.9</v>
      </c>
      <c r="H94" s="32" t="str">
        <f>VLOOKUP(B94,'Abril Data'!A:D,4,FALSE)</f>
        <v>UESP1779</v>
      </c>
      <c r="I94" s="85" t="s">
        <v>103</v>
      </c>
      <c r="J94" s="85">
        <f>J89+1</f>
        <v>784</v>
      </c>
      <c r="K94" s="35"/>
    </row>
    <row r="95" hidden="1">
      <c r="A95" s="71" t="s">
        <v>32</v>
      </c>
      <c r="B95" s="70" t="s">
        <v>103</v>
      </c>
      <c r="C95" s="71" t="s">
        <v>72</v>
      </c>
      <c r="D95" s="72" t="s">
        <v>69</v>
      </c>
      <c r="E95" s="73" t="s">
        <v>104</v>
      </c>
      <c r="F95" s="81" t="s">
        <v>73</v>
      </c>
      <c r="G95" s="162">
        <f>SUMIFS('Abril Data'!C:C,'Abril Data'!A:A,B95,'Abril Data'!B:B,F95)</f>
        <v>0</v>
      </c>
      <c r="H95" s="82" t="str">
        <f>VLOOKUP(B95,'Abril Data'!A:D,4,FALSE)</f>
        <v>UESP1779</v>
      </c>
      <c r="I95" s="87" t="s">
        <v>103</v>
      </c>
      <c r="J95" s="83"/>
      <c r="K95" s="35"/>
    </row>
    <row r="96" hidden="1">
      <c r="A96" s="50" t="s">
        <v>32</v>
      </c>
      <c r="B96" s="40" t="s">
        <v>103</v>
      </c>
      <c r="C96" s="41" t="s">
        <v>72</v>
      </c>
      <c r="D96" s="50" t="s">
        <v>69</v>
      </c>
      <c r="E96" s="51" t="s">
        <v>104</v>
      </c>
      <c r="F96" s="50" t="s">
        <v>74</v>
      </c>
      <c r="G96" s="165">
        <f>G95+G94</f>
        <v>2030147.9</v>
      </c>
      <c r="H96" s="97" t="str">
        <f>VLOOKUP(B96,'Abril Data'!A:D,4,FALSE)</f>
        <v>UESP1779</v>
      </c>
      <c r="I96" s="78"/>
      <c r="J96" s="78"/>
      <c r="K96" s="35"/>
    </row>
    <row r="97" hidden="1">
      <c r="A97" s="102" t="s">
        <v>32</v>
      </c>
      <c r="B97" s="27" t="s">
        <v>103</v>
      </c>
      <c r="C97" s="28" t="s">
        <v>59</v>
      </c>
      <c r="D97" s="56" t="s">
        <v>59</v>
      </c>
      <c r="E97" s="88"/>
      <c r="F97" s="41" t="s">
        <v>75</v>
      </c>
      <c r="G97" s="157">
        <f>G96*5%</f>
        <v>101507.395</v>
      </c>
      <c r="H97" s="45" t="str">
        <f>VLOOKUP(B97,'Abril Data'!A:D,4,FALSE)</f>
        <v>UESP1779</v>
      </c>
      <c r="I97" s="85" t="s">
        <v>103</v>
      </c>
      <c r="J97" s="92"/>
      <c r="K97" s="35"/>
    </row>
    <row r="98" hidden="1">
      <c r="A98" s="103" t="s">
        <v>32</v>
      </c>
      <c r="B98" s="40" t="s">
        <v>103</v>
      </c>
      <c r="C98" s="41" t="s">
        <v>59</v>
      </c>
      <c r="D98" s="56" t="s">
        <v>59</v>
      </c>
      <c r="E98" s="88"/>
      <c r="F98" s="41" t="s">
        <v>58</v>
      </c>
      <c r="G98" s="157">
        <f>G97</f>
        <v>101507.395</v>
      </c>
      <c r="H98" s="45" t="str">
        <f>VLOOKUP(B98,'Abril Data'!A:D,4,FALSE)</f>
        <v>UESP1779</v>
      </c>
      <c r="I98" s="89" t="s">
        <v>103</v>
      </c>
      <c r="J98" s="79"/>
      <c r="K98" s="35"/>
    </row>
    <row r="99">
      <c r="A99" s="28" t="s">
        <v>34</v>
      </c>
      <c r="B99" s="27" t="s">
        <v>105</v>
      </c>
      <c r="C99" s="28" t="s">
        <v>58</v>
      </c>
      <c r="D99" s="29" t="s">
        <v>69</v>
      </c>
      <c r="E99" s="30" t="s">
        <v>99</v>
      </c>
      <c r="F99" s="135" t="s">
        <v>71</v>
      </c>
      <c r="G99" s="159">
        <f>SUMIFS('Abril Data'!C:C,'Abril Data'!A:A,B99,'Abril Data'!B:B,F99)</f>
        <v>12459320.45</v>
      </c>
      <c r="H99" s="63" t="str">
        <f>VLOOKUP(B99,'Abril Data'!A:D,4,FALSE)</f>
        <v>UESP1781</v>
      </c>
      <c r="I99" s="85" t="s">
        <v>105</v>
      </c>
      <c r="J99" s="85">
        <f>J94+1</f>
        <v>785</v>
      </c>
      <c r="K99" s="35"/>
    </row>
    <row r="100" hidden="1">
      <c r="A100" s="41" t="s">
        <v>34</v>
      </c>
      <c r="B100" s="40" t="s">
        <v>105</v>
      </c>
      <c r="C100" s="41" t="s">
        <v>72</v>
      </c>
      <c r="D100" s="42" t="s">
        <v>69</v>
      </c>
      <c r="E100" s="43" t="s">
        <v>99</v>
      </c>
      <c r="F100" s="56" t="s">
        <v>73</v>
      </c>
      <c r="G100" s="160">
        <f>SUMIFS('Abril Data'!C:C,'Abril Data'!A:A,B100,'Abril Data'!B:B,F100)</f>
        <v>0</v>
      </c>
      <c r="H100" s="66" t="str">
        <f>VLOOKUP(B100,'Abril Data'!A:D,4,FALSE)</f>
        <v>UESP1781</v>
      </c>
      <c r="I100" s="89" t="s">
        <v>105</v>
      </c>
      <c r="J100" s="79"/>
      <c r="K100" s="35"/>
    </row>
    <row r="101" hidden="1">
      <c r="A101" s="41" t="s">
        <v>34</v>
      </c>
      <c r="B101" s="40" t="s">
        <v>105</v>
      </c>
      <c r="C101" s="41" t="s">
        <v>72</v>
      </c>
      <c r="D101" s="42" t="s">
        <v>69</v>
      </c>
      <c r="F101" s="56" t="s">
        <v>80</v>
      </c>
      <c r="G101" s="160">
        <f>(G99+G100)*4%</f>
        <v>498372.818</v>
      </c>
      <c r="H101" s="66" t="str">
        <f>VLOOKUP(B101,'Abril Data'!A:D,4,FALSE)</f>
        <v>UESP1781</v>
      </c>
      <c r="I101" s="89" t="s">
        <v>105</v>
      </c>
      <c r="J101" s="79"/>
      <c r="K101" s="35"/>
    </row>
    <row r="102" hidden="1">
      <c r="A102" s="71" t="s">
        <v>34</v>
      </c>
      <c r="B102" s="70" t="s">
        <v>105</v>
      </c>
      <c r="C102" s="71" t="s">
        <v>72</v>
      </c>
      <c r="D102" s="72" t="s">
        <v>69</v>
      </c>
      <c r="E102" s="73"/>
      <c r="F102" s="81" t="s">
        <v>100</v>
      </c>
      <c r="G102" s="160">
        <f>(G99+G100)*0.8%</f>
        <v>99674.5636</v>
      </c>
      <c r="H102" s="66" t="str">
        <f>VLOOKUP(B102,'Abril Data'!A:D,4,FALSE)</f>
        <v>UESP1781</v>
      </c>
      <c r="I102" s="87" t="s">
        <v>105</v>
      </c>
      <c r="J102" s="83"/>
      <c r="K102" s="35"/>
    </row>
    <row r="103" hidden="1">
      <c r="A103" s="50" t="s">
        <v>34</v>
      </c>
      <c r="B103" s="40" t="s">
        <v>105</v>
      </c>
      <c r="C103" s="41" t="s">
        <v>72</v>
      </c>
      <c r="D103" s="50" t="s">
        <v>69</v>
      </c>
      <c r="E103" s="51" t="s">
        <v>99</v>
      </c>
      <c r="F103" s="50" t="s">
        <v>74</v>
      </c>
      <c r="G103" s="165">
        <f>G99+G100-G101-G102</f>
        <v>11861273.07</v>
      </c>
      <c r="H103" s="97" t="str">
        <f>VLOOKUP(B103,'Abril Data'!A:D,4,FALSE)</f>
        <v>UESP1781</v>
      </c>
      <c r="I103" s="78"/>
      <c r="J103" s="78"/>
      <c r="K103" s="35"/>
    </row>
    <row r="104" hidden="1">
      <c r="A104" s="91" t="s">
        <v>34</v>
      </c>
      <c r="B104" s="27" t="s">
        <v>105</v>
      </c>
      <c r="C104" s="28" t="s">
        <v>59</v>
      </c>
      <c r="D104" s="56" t="s">
        <v>59</v>
      </c>
      <c r="E104" s="88"/>
      <c r="F104" s="41" t="s">
        <v>75</v>
      </c>
      <c r="G104" s="157">
        <f>G103*5%</f>
        <v>593063.6534</v>
      </c>
      <c r="H104" s="45" t="str">
        <f>VLOOKUP(B104,'Abril Data'!A:D,4,FALSE)</f>
        <v>UESP1781</v>
      </c>
      <c r="I104" s="85" t="s">
        <v>105</v>
      </c>
      <c r="J104" s="92"/>
      <c r="K104" s="35"/>
    </row>
    <row r="105" hidden="1">
      <c r="A105" s="80" t="s">
        <v>34</v>
      </c>
      <c r="B105" s="70" t="s">
        <v>105</v>
      </c>
      <c r="C105" s="71" t="s">
        <v>59</v>
      </c>
      <c r="D105" s="81" t="s">
        <v>59</v>
      </c>
      <c r="E105" s="88"/>
      <c r="F105" s="71" t="s">
        <v>58</v>
      </c>
      <c r="G105" s="162">
        <f>G104</f>
        <v>593063.6534</v>
      </c>
      <c r="H105" s="82" t="str">
        <f>VLOOKUP(B105,'Abril Data'!A:D,4,FALSE)</f>
        <v>UESP1781</v>
      </c>
      <c r="I105" s="87" t="s">
        <v>105</v>
      </c>
      <c r="J105" s="83"/>
      <c r="K105" s="35"/>
    </row>
    <row r="106">
      <c r="A106" s="28" t="s">
        <v>44</v>
      </c>
      <c r="B106" s="27" t="s">
        <v>153</v>
      </c>
      <c r="C106" s="28" t="s">
        <v>58</v>
      </c>
      <c r="D106" s="29" t="s">
        <v>69</v>
      </c>
      <c r="E106" s="30" t="s">
        <v>107</v>
      </c>
      <c r="F106" s="135" t="s">
        <v>71</v>
      </c>
      <c r="G106" s="156">
        <f>SUMIFS('Abril Data'!C:C,'Abril Data'!A:A,B106,'Abril Data'!B:B,F106)</f>
        <v>3802317.31</v>
      </c>
      <c r="H106" s="32" t="str">
        <f>VLOOKUP(B106,'Abril Data'!A:D,4,FALSE)</f>
        <v>UESP1776</v>
      </c>
      <c r="I106" s="85" t="s">
        <v>106</v>
      </c>
      <c r="J106" s="85">
        <f>J99+1</f>
        <v>786</v>
      </c>
      <c r="K106" s="35"/>
    </row>
    <row r="107" hidden="1">
      <c r="A107" s="71" t="s">
        <v>44</v>
      </c>
      <c r="B107" s="70" t="s">
        <v>153</v>
      </c>
      <c r="C107" s="71" t="s">
        <v>72</v>
      </c>
      <c r="D107" s="72" t="s">
        <v>69</v>
      </c>
      <c r="E107" s="73" t="s">
        <v>107</v>
      </c>
      <c r="F107" s="81" t="s">
        <v>73</v>
      </c>
      <c r="G107" s="162">
        <f>SUMIFS('Abril Data'!C:C,'Abril Data'!A:A,B107,'Abril Data'!B:B,F107)</f>
        <v>0</v>
      </c>
      <c r="H107" s="82" t="str">
        <f>VLOOKUP(B107,'Abril Data'!A:D,4,FALSE)</f>
        <v>UESP1776</v>
      </c>
      <c r="I107" s="87" t="s">
        <v>106</v>
      </c>
      <c r="J107" s="83"/>
      <c r="K107" s="35"/>
    </row>
    <row r="108" hidden="1">
      <c r="A108" s="50" t="s">
        <v>44</v>
      </c>
      <c r="B108" s="40" t="s">
        <v>153</v>
      </c>
      <c r="C108" s="41" t="s">
        <v>72</v>
      </c>
      <c r="D108" s="50" t="s">
        <v>69</v>
      </c>
      <c r="E108" s="51" t="s">
        <v>107</v>
      </c>
      <c r="F108" s="50" t="s">
        <v>74</v>
      </c>
      <c r="G108" s="165">
        <f>G107+G106</f>
        <v>3802317.31</v>
      </c>
      <c r="H108" s="97" t="str">
        <f>VLOOKUP(B108,'Abril Data'!A:D,4,FALSE)</f>
        <v>UESP1776</v>
      </c>
      <c r="I108" s="78"/>
      <c r="J108" s="78"/>
      <c r="K108" s="35"/>
    </row>
    <row r="109" hidden="1">
      <c r="A109" s="91" t="s">
        <v>44</v>
      </c>
      <c r="B109" s="27" t="s">
        <v>153</v>
      </c>
      <c r="C109" s="28" t="s">
        <v>59</v>
      </c>
      <c r="D109" s="56" t="s">
        <v>59</v>
      </c>
      <c r="E109" s="88"/>
      <c r="F109" s="41" t="s">
        <v>75</v>
      </c>
      <c r="G109" s="157">
        <f>G108*5%</f>
        <v>190115.8655</v>
      </c>
      <c r="H109" s="45" t="str">
        <f>VLOOKUP(B109,'Abril Data'!A:D,4,FALSE)</f>
        <v>UESP1776</v>
      </c>
      <c r="I109" s="85" t="s">
        <v>106</v>
      </c>
      <c r="J109" s="92"/>
      <c r="K109" s="35"/>
    </row>
    <row r="110" hidden="1">
      <c r="A110" s="37" t="s">
        <v>44</v>
      </c>
      <c r="B110" s="40" t="s">
        <v>153</v>
      </c>
      <c r="C110" s="41" t="s">
        <v>59</v>
      </c>
      <c r="D110" s="56" t="s">
        <v>59</v>
      </c>
      <c r="E110" s="88"/>
      <c r="F110" s="41" t="s">
        <v>58</v>
      </c>
      <c r="G110" s="157">
        <f>G109</f>
        <v>190115.8655</v>
      </c>
      <c r="H110" s="45" t="str">
        <f>VLOOKUP(B110,'Abril Data'!A:D,4,FALSE)</f>
        <v>UESP1776</v>
      </c>
      <c r="I110" s="89" t="s">
        <v>106</v>
      </c>
      <c r="J110" s="79"/>
      <c r="K110" s="35"/>
    </row>
    <row r="111" ht="14.25" customHeight="1">
      <c r="A111" s="28" t="s">
        <v>36</v>
      </c>
      <c r="B111" s="27" t="s">
        <v>143</v>
      </c>
      <c r="C111" s="28" t="s">
        <v>58</v>
      </c>
      <c r="D111" s="29" t="s">
        <v>69</v>
      </c>
      <c r="E111" s="30" t="s">
        <v>82</v>
      </c>
      <c r="F111" s="149" t="s">
        <v>71</v>
      </c>
      <c r="G111" s="159">
        <f>SUMIFS('Abril Data'!C:C,'Abril Data'!A:A,B111,'Abril Data'!B:B,F111)</f>
        <v>3726141.09</v>
      </c>
      <c r="H111" s="63" t="str">
        <f>VLOOKUP(B111,'Abril Data'!A:D,4,FALSE)</f>
        <v>UESP1767</v>
      </c>
      <c r="I111" s="85" t="s">
        <v>143</v>
      </c>
      <c r="J111" s="85">
        <f>J106+1</f>
        <v>787</v>
      </c>
      <c r="K111" s="35"/>
    </row>
    <row r="112" ht="14.25" hidden="1" customHeight="1">
      <c r="A112" s="41" t="s">
        <v>36</v>
      </c>
      <c r="B112" s="40" t="s">
        <v>143</v>
      </c>
      <c r="C112" s="41" t="s">
        <v>72</v>
      </c>
      <c r="D112" s="42" t="s">
        <v>69</v>
      </c>
      <c r="E112" s="43" t="s">
        <v>82</v>
      </c>
      <c r="F112" s="151" t="s">
        <v>73</v>
      </c>
      <c r="G112" s="160">
        <f>SUMIFS('Abril Data'!C:C,'Abril Data'!A:A,B112,'Abril Data'!B:B,F112)</f>
        <v>46152.91</v>
      </c>
      <c r="H112" s="66" t="str">
        <f>VLOOKUP(B112,'Abril Data'!A:D,4,FALSE)</f>
        <v>UESP1767</v>
      </c>
      <c r="I112" s="89" t="s">
        <v>143</v>
      </c>
      <c r="J112" s="79"/>
      <c r="K112" s="35"/>
    </row>
    <row r="113" ht="14.25" hidden="1" customHeight="1">
      <c r="A113" s="71" t="s">
        <v>36</v>
      </c>
      <c r="B113" s="70" t="s">
        <v>143</v>
      </c>
      <c r="C113" s="71" t="s">
        <v>72</v>
      </c>
      <c r="D113" s="72" t="s">
        <v>69</v>
      </c>
      <c r="E113" s="73"/>
      <c r="F113" s="153" t="s">
        <v>80</v>
      </c>
      <c r="G113" s="160">
        <f>(G111+G112)*4%</f>
        <v>150891.76</v>
      </c>
      <c r="H113" s="66" t="str">
        <f>VLOOKUP(B113,'Abril Data'!A:D,4,FALSE)</f>
        <v>UESP1767</v>
      </c>
      <c r="I113" s="87" t="s">
        <v>143</v>
      </c>
      <c r="J113" s="83"/>
      <c r="K113" s="35"/>
    </row>
    <row r="114" ht="14.25" hidden="1" customHeight="1">
      <c r="A114" s="50" t="s">
        <v>36</v>
      </c>
      <c r="B114" s="70" t="s">
        <v>143</v>
      </c>
      <c r="C114" s="71" t="s">
        <v>72</v>
      </c>
      <c r="D114" s="111" t="s">
        <v>69</v>
      </c>
      <c r="E114" s="112" t="s">
        <v>82</v>
      </c>
      <c r="F114" s="50" t="s">
        <v>74</v>
      </c>
      <c r="G114" s="166">
        <f>G111+G112-G113</f>
        <v>3621402.24</v>
      </c>
      <c r="H114" s="113" t="str">
        <f>VLOOKUP(B114,'Abril Data'!A:D,4,FALSE)</f>
        <v>UESP1767</v>
      </c>
      <c r="I114" s="155"/>
      <c r="J114" s="155"/>
      <c r="K114" s="35"/>
    </row>
    <row r="115" ht="14.25" hidden="1" customHeight="1">
      <c r="A115" s="91" t="s">
        <v>36</v>
      </c>
      <c r="B115" s="27" t="s">
        <v>143</v>
      </c>
      <c r="C115" s="28" t="s">
        <v>59</v>
      </c>
      <c r="D115" s="56" t="s">
        <v>59</v>
      </c>
      <c r="E115" s="88"/>
      <c r="F115" s="41" t="s">
        <v>75</v>
      </c>
      <c r="G115" s="157">
        <f>G114*5%</f>
        <v>181070.112</v>
      </c>
      <c r="H115" s="45" t="str">
        <f>VLOOKUP(B115,'Abril Data'!A:D,4,FALSE)</f>
        <v>UESP1767</v>
      </c>
      <c r="I115" s="85" t="s">
        <v>143</v>
      </c>
      <c r="J115" s="92"/>
      <c r="K115" s="35"/>
    </row>
    <row r="116" ht="14.25" hidden="1" customHeight="1">
      <c r="A116" s="80" t="s">
        <v>36</v>
      </c>
      <c r="B116" s="70" t="s">
        <v>143</v>
      </c>
      <c r="C116" s="71" t="s">
        <v>59</v>
      </c>
      <c r="D116" s="81" t="s">
        <v>59</v>
      </c>
      <c r="E116" s="88"/>
      <c r="F116" s="71" t="s">
        <v>58</v>
      </c>
      <c r="G116" s="162">
        <f>G115</f>
        <v>181070.112</v>
      </c>
      <c r="H116" s="82" t="str">
        <f>VLOOKUP(B116,'Abril Data'!A:D,4,FALSE)</f>
        <v>UESP1767</v>
      </c>
      <c r="I116" s="87" t="s">
        <v>143</v>
      </c>
      <c r="J116" s="83"/>
      <c r="K116" s="35"/>
    </row>
    <row r="117" hidden="1">
      <c r="B117" s="116"/>
      <c r="G117" s="167"/>
      <c r="H117" s="118"/>
      <c r="I117" s="119"/>
      <c r="J117" s="119"/>
      <c r="K117" s="35"/>
    </row>
    <row r="118" hidden="1">
      <c r="B118" s="116"/>
      <c r="G118" s="167"/>
      <c r="H118" s="118"/>
      <c r="I118" s="119"/>
      <c r="J118" s="119"/>
      <c r="K118" s="35"/>
    </row>
    <row r="119" hidden="1">
      <c r="B119" s="116"/>
      <c r="G119" s="167"/>
      <c r="H119" s="118"/>
      <c r="I119" s="119"/>
      <c r="J119" s="119"/>
      <c r="K119" s="35"/>
    </row>
    <row r="120" hidden="1">
      <c r="B120" s="116"/>
      <c r="G120" s="167"/>
      <c r="H120" s="118"/>
      <c r="I120" s="119"/>
      <c r="J120" s="119"/>
      <c r="K120" s="35"/>
    </row>
    <row r="121" hidden="1">
      <c r="B121" s="116"/>
      <c r="G121" s="167"/>
      <c r="H121" s="118"/>
      <c r="I121" s="119"/>
      <c r="J121" s="119"/>
      <c r="K121" s="35"/>
    </row>
    <row r="122" hidden="1">
      <c r="B122" s="116"/>
      <c r="G122" s="167"/>
      <c r="H122" s="118"/>
      <c r="I122" s="119"/>
      <c r="J122" s="119"/>
      <c r="K122" s="35"/>
    </row>
    <row r="123" hidden="1">
      <c r="B123" s="116"/>
      <c r="G123" s="167"/>
      <c r="H123" s="118"/>
      <c r="I123" s="119"/>
      <c r="J123" s="119"/>
      <c r="K123" s="35"/>
    </row>
    <row r="124" hidden="1">
      <c r="B124" s="116"/>
      <c r="G124" s="167"/>
      <c r="H124" s="118"/>
      <c r="I124" s="119"/>
      <c r="J124" s="119"/>
      <c r="K124" s="35"/>
    </row>
    <row r="125" hidden="1">
      <c r="B125" s="116"/>
      <c r="G125" s="167"/>
      <c r="H125" s="118"/>
      <c r="I125" s="119"/>
      <c r="J125" s="119"/>
      <c r="K125" s="35"/>
    </row>
    <row r="126" hidden="1">
      <c r="B126" s="116"/>
      <c r="G126" s="167"/>
      <c r="H126" s="118"/>
      <c r="I126" s="119"/>
      <c r="J126" s="119"/>
      <c r="K126" s="35"/>
    </row>
    <row r="127" hidden="1">
      <c r="B127" s="116"/>
      <c r="G127" s="167"/>
      <c r="H127" s="118"/>
      <c r="I127" s="119"/>
      <c r="J127" s="119"/>
      <c r="K127" s="35"/>
    </row>
    <row r="128" hidden="1">
      <c r="B128" s="116"/>
      <c r="G128" s="167"/>
      <c r="H128" s="118"/>
      <c r="I128" s="119"/>
      <c r="J128" s="119"/>
      <c r="K128" s="35"/>
    </row>
    <row r="129" hidden="1">
      <c r="B129" s="116"/>
      <c r="G129" s="167"/>
      <c r="H129" s="118"/>
      <c r="I129" s="119"/>
      <c r="J129" s="119"/>
      <c r="K129" s="35"/>
    </row>
    <row r="130" hidden="1">
      <c r="B130" s="116"/>
      <c r="G130" s="167"/>
      <c r="H130" s="118"/>
      <c r="I130" s="119"/>
      <c r="J130" s="119"/>
      <c r="K130" s="35"/>
    </row>
    <row r="131" hidden="1">
      <c r="B131" s="116"/>
      <c r="G131" s="167"/>
      <c r="H131" s="118"/>
      <c r="I131" s="119"/>
      <c r="J131" s="119"/>
      <c r="K131" s="35"/>
    </row>
    <row r="132" hidden="1">
      <c r="B132" s="116"/>
      <c r="G132" s="167"/>
      <c r="H132" s="118"/>
      <c r="I132" s="119"/>
      <c r="J132" s="119"/>
      <c r="K132" s="35"/>
    </row>
    <row r="133" hidden="1">
      <c r="B133" s="116"/>
      <c r="G133" s="167"/>
      <c r="H133" s="118"/>
      <c r="I133" s="119"/>
      <c r="J133" s="119"/>
      <c r="K133" s="35"/>
    </row>
    <row r="134" hidden="1">
      <c r="B134" s="116"/>
      <c r="G134" s="167"/>
      <c r="H134" s="118"/>
      <c r="I134" s="119"/>
      <c r="J134" s="119"/>
      <c r="K134" s="35"/>
    </row>
    <row r="135" hidden="1">
      <c r="B135" s="116"/>
      <c r="G135" s="167"/>
      <c r="H135" s="118"/>
      <c r="I135" s="119"/>
      <c r="J135" s="119"/>
      <c r="K135" s="35"/>
    </row>
    <row r="136" hidden="1">
      <c r="B136" s="116"/>
      <c r="G136" s="167"/>
      <c r="H136" s="118"/>
      <c r="I136" s="119"/>
      <c r="J136" s="119"/>
      <c r="K136" s="35"/>
    </row>
    <row r="137" hidden="1">
      <c r="B137" s="116"/>
      <c r="G137" s="167"/>
      <c r="H137" s="118"/>
      <c r="I137" s="119"/>
      <c r="J137" s="119"/>
      <c r="K137" s="35"/>
    </row>
    <row r="138" hidden="1">
      <c r="B138" s="116"/>
      <c r="G138" s="167"/>
      <c r="H138" s="118"/>
      <c r="I138" s="119"/>
      <c r="J138" s="119"/>
      <c r="K138" s="35"/>
    </row>
    <row r="139" hidden="1">
      <c r="B139" s="116"/>
      <c r="G139" s="167"/>
      <c r="H139" s="118"/>
      <c r="I139" s="119"/>
      <c r="J139" s="119"/>
      <c r="K139" s="35"/>
    </row>
    <row r="140" hidden="1">
      <c r="B140" s="116"/>
      <c r="G140" s="167"/>
      <c r="H140" s="118"/>
      <c r="I140" s="119"/>
      <c r="J140" s="119"/>
      <c r="K140" s="35"/>
    </row>
    <row r="141" hidden="1">
      <c r="B141" s="116"/>
      <c r="G141" s="167"/>
      <c r="H141" s="118"/>
      <c r="I141" s="119"/>
      <c r="J141" s="119"/>
      <c r="K141" s="35"/>
    </row>
    <row r="142" hidden="1">
      <c r="B142" s="116"/>
      <c r="G142" s="167"/>
      <c r="H142" s="118"/>
      <c r="I142" s="119"/>
      <c r="J142" s="119"/>
      <c r="K142" s="35"/>
    </row>
    <row r="143" hidden="1">
      <c r="B143" s="116"/>
      <c r="G143" s="167"/>
      <c r="H143" s="118"/>
      <c r="I143" s="119"/>
      <c r="J143" s="119"/>
      <c r="K143" s="35"/>
    </row>
    <row r="144" hidden="1">
      <c r="B144" s="116"/>
      <c r="G144" s="167"/>
      <c r="H144" s="118"/>
      <c r="I144" s="119"/>
      <c r="J144" s="119"/>
      <c r="K144" s="35"/>
    </row>
    <row r="145" hidden="1">
      <c r="B145" s="116"/>
      <c r="G145" s="167"/>
      <c r="H145" s="118"/>
      <c r="I145" s="119"/>
      <c r="J145" s="119"/>
      <c r="K145" s="35"/>
    </row>
    <row r="146" hidden="1">
      <c r="B146" s="116"/>
      <c r="G146" s="167"/>
      <c r="H146" s="118"/>
      <c r="I146" s="119"/>
      <c r="J146" s="119"/>
      <c r="K146" s="35"/>
    </row>
    <row r="147" hidden="1">
      <c r="B147" s="116"/>
      <c r="G147" s="167"/>
      <c r="H147" s="118"/>
      <c r="I147" s="119"/>
      <c r="J147" s="119"/>
      <c r="K147" s="35"/>
    </row>
    <row r="148" hidden="1">
      <c r="B148" s="116"/>
      <c r="G148" s="167"/>
      <c r="H148" s="118"/>
      <c r="I148" s="119"/>
      <c r="J148" s="119"/>
      <c r="K148" s="35"/>
    </row>
    <row r="149" hidden="1">
      <c r="B149" s="116"/>
      <c r="G149" s="167"/>
      <c r="H149" s="118"/>
      <c r="I149" s="119"/>
      <c r="J149" s="119"/>
      <c r="K149" s="35"/>
    </row>
    <row r="150" hidden="1">
      <c r="B150" s="116"/>
      <c r="G150" s="167"/>
      <c r="H150" s="118"/>
      <c r="I150" s="119"/>
      <c r="J150" s="119"/>
      <c r="K150" s="35"/>
    </row>
    <row r="151" hidden="1">
      <c r="B151" s="116"/>
      <c r="G151" s="167"/>
      <c r="H151" s="118"/>
      <c r="I151" s="119"/>
      <c r="J151" s="119"/>
      <c r="K151" s="35"/>
    </row>
    <row r="152" hidden="1">
      <c r="B152" s="116"/>
      <c r="G152" s="167"/>
      <c r="H152" s="118"/>
      <c r="I152" s="119"/>
      <c r="J152" s="119"/>
      <c r="K152" s="35"/>
    </row>
    <row r="153" hidden="1">
      <c r="B153" s="116"/>
      <c r="G153" s="167"/>
      <c r="H153" s="118"/>
      <c r="I153" s="119"/>
      <c r="J153" s="119"/>
      <c r="K153" s="35"/>
    </row>
    <row r="154" hidden="1">
      <c r="B154" s="116"/>
      <c r="G154" s="167"/>
      <c r="H154" s="118"/>
      <c r="I154" s="119"/>
      <c r="J154" s="119"/>
      <c r="K154" s="35"/>
    </row>
    <row r="155" hidden="1">
      <c r="B155" s="116"/>
      <c r="G155" s="167"/>
      <c r="H155" s="118"/>
      <c r="I155" s="119"/>
      <c r="J155" s="119"/>
      <c r="K155" s="35"/>
    </row>
    <row r="156" hidden="1">
      <c r="B156" s="116"/>
      <c r="G156" s="167"/>
      <c r="H156" s="118"/>
      <c r="I156" s="119"/>
      <c r="J156" s="119"/>
      <c r="K156" s="35"/>
    </row>
    <row r="157" hidden="1">
      <c r="B157" s="116"/>
      <c r="G157" s="167"/>
      <c r="H157" s="118"/>
      <c r="I157" s="119"/>
      <c r="J157" s="119"/>
      <c r="K157" s="35"/>
    </row>
    <row r="158" hidden="1">
      <c r="B158" s="116"/>
      <c r="G158" s="167"/>
      <c r="H158" s="118"/>
      <c r="I158" s="119"/>
      <c r="J158" s="119"/>
      <c r="K158" s="35"/>
    </row>
    <row r="159" hidden="1">
      <c r="B159" s="116"/>
      <c r="G159" s="167"/>
      <c r="H159" s="118"/>
      <c r="I159" s="119"/>
      <c r="J159" s="119"/>
      <c r="K159" s="35"/>
    </row>
    <row r="160" hidden="1">
      <c r="B160" s="116"/>
      <c r="G160" s="167"/>
      <c r="H160" s="118"/>
      <c r="I160" s="119"/>
      <c r="J160" s="119"/>
      <c r="K160" s="35"/>
    </row>
    <row r="161" hidden="1">
      <c r="B161" s="116"/>
      <c r="G161" s="167"/>
      <c r="H161" s="118"/>
      <c r="I161" s="119"/>
      <c r="J161" s="119"/>
      <c r="K161" s="35"/>
    </row>
    <row r="162" hidden="1">
      <c r="B162" s="116"/>
      <c r="G162" s="167"/>
      <c r="H162" s="118"/>
      <c r="I162" s="119"/>
      <c r="J162" s="119"/>
      <c r="K162" s="35"/>
    </row>
    <row r="163" hidden="1">
      <c r="B163" s="116"/>
      <c r="G163" s="167"/>
      <c r="H163" s="118"/>
      <c r="I163" s="119"/>
      <c r="J163" s="119"/>
      <c r="K163" s="35"/>
    </row>
    <row r="164" hidden="1">
      <c r="B164" s="116"/>
      <c r="G164" s="167"/>
      <c r="H164" s="118"/>
      <c r="I164" s="119"/>
      <c r="J164" s="119"/>
      <c r="K164" s="35"/>
    </row>
    <row r="165" hidden="1">
      <c r="B165" s="116"/>
      <c r="G165" s="167"/>
      <c r="H165" s="118"/>
      <c r="I165" s="119"/>
      <c r="J165" s="119"/>
      <c r="K165" s="35"/>
    </row>
    <row r="166" hidden="1">
      <c r="B166" s="116"/>
      <c r="G166" s="167"/>
      <c r="H166" s="118"/>
      <c r="I166" s="119"/>
      <c r="J166" s="119"/>
      <c r="K166" s="35"/>
    </row>
    <row r="167" hidden="1">
      <c r="B167" s="116"/>
      <c r="G167" s="167"/>
      <c r="H167" s="118"/>
      <c r="I167" s="119"/>
      <c r="J167" s="119"/>
      <c r="K167" s="35"/>
    </row>
    <row r="168" hidden="1">
      <c r="B168" s="116"/>
      <c r="G168" s="167"/>
      <c r="H168" s="118"/>
      <c r="I168" s="119"/>
      <c r="J168" s="119"/>
      <c r="K168" s="35"/>
    </row>
    <row r="169" hidden="1">
      <c r="B169" s="116"/>
      <c r="G169" s="167"/>
      <c r="H169" s="118"/>
      <c r="I169" s="119"/>
      <c r="J169" s="119"/>
      <c r="K169" s="35"/>
    </row>
    <row r="170" hidden="1">
      <c r="B170" s="116"/>
      <c r="G170" s="167"/>
      <c r="H170" s="118"/>
      <c r="I170" s="119"/>
      <c r="J170" s="119"/>
      <c r="K170" s="35"/>
    </row>
    <row r="171" hidden="1">
      <c r="B171" s="116"/>
      <c r="G171" s="167"/>
      <c r="H171" s="118"/>
      <c r="I171" s="119"/>
      <c r="J171" s="119"/>
      <c r="K171" s="35"/>
    </row>
    <row r="172" hidden="1">
      <c r="B172" s="116"/>
      <c r="G172" s="167"/>
      <c r="H172" s="118"/>
      <c r="I172" s="119"/>
      <c r="J172" s="119"/>
      <c r="K172" s="35"/>
    </row>
    <row r="173" hidden="1">
      <c r="B173" s="116"/>
      <c r="G173" s="167"/>
      <c r="H173" s="118"/>
      <c r="I173" s="119"/>
      <c r="J173" s="119"/>
      <c r="K173" s="35"/>
    </row>
    <row r="174" hidden="1">
      <c r="B174" s="116"/>
      <c r="G174" s="167"/>
      <c r="H174" s="118"/>
      <c r="I174" s="119"/>
      <c r="J174" s="119"/>
      <c r="K174" s="35"/>
    </row>
    <row r="175" hidden="1">
      <c r="B175" s="116"/>
      <c r="G175" s="167"/>
      <c r="H175" s="118"/>
      <c r="I175" s="119"/>
      <c r="J175" s="119"/>
      <c r="K175" s="35"/>
    </row>
    <row r="176" hidden="1">
      <c r="B176" s="116"/>
      <c r="G176" s="167"/>
      <c r="H176" s="118"/>
      <c r="I176" s="119"/>
      <c r="J176" s="119"/>
      <c r="K176" s="35"/>
    </row>
    <row r="177" hidden="1">
      <c r="B177" s="116"/>
      <c r="G177" s="167"/>
      <c r="H177" s="118"/>
      <c r="I177" s="119"/>
      <c r="J177" s="119"/>
      <c r="K177" s="35"/>
    </row>
    <row r="178" hidden="1">
      <c r="B178" s="116"/>
      <c r="G178" s="167"/>
      <c r="H178" s="118"/>
      <c r="I178" s="119"/>
      <c r="J178" s="119"/>
      <c r="K178" s="35"/>
    </row>
    <row r="179" hidden="1">
      <c r="B179" s="116"/>
      <c r="G179" s="167"/>
      <c r="H179" s="118"/>
      <c r="I179" s="119"/>
      <c r="J179" s="119"/>
      <c r="K179" s="35"/>
    </row>
    <row r="180" hidden="1">
      <c r="B180" s="116"/>
      <c r="G180" s="167"/>
      <c r="H180" s="118"/>
      <c r="I180" s="119"/>
      <c r="J180" s="119"/>
      <c r="K180" s="35"/>
    </row>
    <row r="181" hidden="1">
      <c r="B181" s="116"/>
      <c r="G181" s="167"/>
      <c r="H181" s="118"/>
      <c r="I181" s="119"/>
      <c r="J181" s="119"/>
      <c r="K181" s="35"/>
    </row>
    <row r="182" hidden="1">
      <c r="B182" s="116"/>
      <c r="G182" s="167"/>
      <c r="H182" s="118"/>
      <c r="I182" s="119"/>
      <c r="J182" s="119"/>
      <c r="K182" s="35"/>
    </row>
    <row r="183" hidden="1">
      <c r="B183" s="116"/>
      <c r="G183" s="167"/>
      <c r="H183" s="118"/>
      <c r="I183" s="119"/>
      <c r="J183" s="119"/>
      <c r="K183" s="35"/>
    </row>
    <row r="184" hidden="1">
      <c r="B184" s="116"/>
      <c r="G184" s="167"/>
      <c r="H184" s="118"/>
      <c r="I184" s="119"/>
      <c r="J184" s="119"/>
      <c r="K184" s="35"/>
    </row>
    <row r="185" hidden="1">
      <c r="B185" s="116"/>
      <c r="G185" s="167"/>
      <c r="H185" s="118"/>
      <c r="I185" s="119"/>
      <c r="J185" s="119"/>
      <c r="K185" s="35"/>
    </row>
    <row r="186" hidden="1">
      <c r="B186" s="116"/>
      <c r="G186" s="167"/>
      <c r="H186" s="118"/>
      <c r="I186" s="119"/>
      <c r="J186" s="119"/>
      <c r="K186" s="35"/>
    </row>
    <row r="187" hidden="1">
      <c r="B187" s="116"/>
      <c r="G187" s="167"/>
      <c r="H187" s="118"/>
      <c r="I187" s="119"/>
      <c r="J187" s="119"/>
      <c r="K187" s="35"/>
    </row>
    <row r="188" hidden="1">
      <c r="B188" s="116"/>
      <c r="G188" s="167"/>
      <c r="H188" s="118"/>
      <c r="I188" s="119"/>
      <c r="J188" s="119"/>
      <c r="K188" s="35"/>
    </row>
    <row r="189" hidden="1">
      <c r="B189" s="116"/>
      <c r="G189" s="167"/>
      <c r="H189" s="118"/>
      <c r="I189" s="119"/>
      <c r="J189" s="119"/>
      <c r="K189" s="35"/>
    </row>
    <row r="190" hidden="1">
      <c r="B190" s="116"/>
      <c r="G190" s="167"/>
      <c r="H190" s="118"/>
      <c r="I190" s="119"/>
      <c r="J190" s="119"/>
      <c r="K190" s="35"/>
    </row>
    <row r="191" hidden="1">
      <c r="B191" s="116"/>
      <c r="G191" s="167"/>
      <c r="H191" s="118"/>
      <c r="I191" s="119"/>
      <c r="J191" s="119"/>
      <c r="K191" s="35"/>
    </row>
    <row r="192" hidden="1">
      <c r="B192" s="116"/>
      <c r="G192" s="167"/>
      <c r="H192" s="118"/>
      <c r="I192" s="119"/>
      <c r="J192" s="119"/>
      <c r="K192" s="35"/>
    </row>
    <row r="193" hidden="1">
      <c r="B193" s="116"/>
      <c r="G193" s="167"/>
      <c r="H193" s="118"/>
      <c r="I193" s="119"/>
      <c r="J193" s="119"/>
      <c r="K193" s="35"/>
    </row>
    <row r="194" hidden="1">
      <c r="B194" s="116"/>
      <c r="G194" s="167"/>
      <c r="H194" s="118"/>
      <c r="I194" s="119"/>
      <c r="J194" s="119"/>
      <c r="K194" s="35"/>
    </row>
    <row r="195" hidden="1">
      <c r="B195" s="116"/>
      <c r="G195" s="167"/>
      <c r="H195" s="118"/>
      <c r="I195" s="119"/>
      <c r="J195" s="119"/>
      <c r="K195" s="35"/>
    </row>
    <row r="196" hidden="1">
      <c r="B196" s="116"/>
      <c r="G196" s="167"/>
      <c r="H196" s="118"/>
      <c r="I196" s="119"/>
      <c r="J196" s="119"/>
      <c r="K196" s="35"/>
    </row>
    <row r="197" hidden="1">
      <c r="B197" s="116"/>
      <c r="G197" s="167"/>
      <c r="H197" s="118"/>
      <c r="I197" s="119"/>
      <c r="J197" s="119"/>
      <c r="K197" s="35"/>
    </row>
    <row r="198" hidden="1">
      <c r="B198" s="116"/>
      <c r="G198" s="167"/>
      <c r="H198" s="118"/>
      <c r="I198" s="119"/>
      <c r="J198" s="119"/>
      <c r="K198" s="35"/>
    </row>
    <row r="199" hidden="1">
      <c r="B199" s="116"/>
      <c r="G199" s="167"/>
      <c r="H199" s="118"/>
      <c r="I199" s="119"/>
      <c r="J199" s="119"/>
      <c r="K199" s="35"/>
    </row>
    <row r="200" hidden="1">
      <c r="B200" s="116"/>
      <c r="G200" s="167"/>
      <c r="H200" s="118"/>
      <c r="I200" s="119"/>
      <c r="J200" s="119"/>
      <c r="K200" s="35"/>
    </row>
    <row r="201" hidden="1">
      <c r="B201" s="116"/>
      <c r="G201" s="167"/>
      <c r="H201" s="118"/>
      <c r="I201" s="119"/>
      <c r="J201" s="119"/>
      <c r="K201" s="35"/>
    </row>
    <row r="202" hidden="1">
      <c r="B202" s="116"/>
      <c r="G202" s="167"/>
      <c r="H202" s="118"/>
      <c r="I202" s="119"/>
      <c r="J202" s="119"/>
      <c r="K202" s="35"/>
    </row>
    <row r="203" hidden="1">
      <c r="B203" s="116"/>
      <c r="G203" s="167"/>
      <c r="H203" s="118"/>
      <c r="I203" s="119"/>
      <c r="J203" s="119"/>
      <c r="K203" s="35"/>
    </row>
    <row r="204" hidden="1">
      <c r="B204" s="116"/>
      <c r="G204" s="167"/>
      <c r="H204" s="118"/>
      <c r="I204" s="119"/>
      <c r="J204" s="119"/>
      <c r="K204" s="35"/>
    </row>
    <row r="205" hidden="1">
      <c r="B205" s="116"/>
      <c r="G205" s="167"/>
      <c r="H205" s="118"/>
      <c r="I205" s="119"/>
      <c r="J205" s="119"/>
      <c r="K205" s="35"/>
    </row>
    <row r="206" hidden="1">
      <c r="B206" s="116"/>
      <c r="G206" s="167"/>
      <c r="H206" s="118"/>
      <c r="I206" s="119"/>
      <c r="J206" s="119"/>
      <c r="K206" s="35"/>
    </row>
    <row r="207" hidden="1">
      <c r="B207" s="116"/>
      <c r="G207" s="167"/>
      <c r="H207" s="118"/>
      <c r="I207" s="119"/>
      <c r="J207" s="119"/>
      <c r="K207" s="35"/>
    </row>
    <row r="208" hidden="1">
      <c r="B208" s="116"/>
      <c r="G208" s="167"/>
      <c r="H208" s="118"/>
      <c r="I208" s="119"/>
      <c r="J208" s="119"/>
      <c r="K208" s="35"/>
    </row>
    <row r="209" hidden="1">
      <c r="B209" s="116"/>
      <c r="G209" s="167"/>
      <c r="H209" s="118"/>
      <c r="I209" s="119"/>
      <c r="J209" s="119"/>
      <c r="K209" s="35"/>
    </row>
    <row r="210" hidden="1">
      <c r="B210" s="116"/>
      <c r="G210" s="167"/>
      <c r="H210" s="118"/>
      <c r="I210" s="119"/>
      <c r="J210" s="119"/>
      <c r="K210" s="35"/>
    </row>
    <row r="211" hidden="1">
      <c r="B211" s="116"/>
      <c r="G211" s="167"/>
      <c r="H211" s="118"/>
      <c r="I211" s="119"/>
      <c r="J211" s="119"/>
      <c r="K211" s="35"/>
    </row>
    <row r="212" hidden="1">
      <c r="B212" s="116"/>
      <c r="G212" s="167"/>
      <c r="H212" s="118"/>
      <c r="I212" s="119"/>
      <c r="J212" s="119"/>
      <c r="K212" s="35"/>
    </row>
    <row r="213" hidden="1">
      <c r="B213" s="116"/>
      <c r="G213" s="167"/>
      <c r="H213" s="118"/>
      <c r="I213" s="119"/>
      <c r="J213" s="119"/>
      <c r="K213" s="35"/>
    </row>
    <row r="214" hidden="1">
      <c r="B214" s="116"/>
      <c r="G214" s="167"/>
      <c r="H214" s="118"/>
      <c r="I214" s="119"/>
      <c r="J214" s="119"/>
      <c r="K214" s="35"/>
    </row>
    <row r="215" hidden="1">
      <c r="B215" s="116"/>
      <c r="G215" s="167"/>
      <c r="H215" s="118"/>
      <c r="I215" s="119"/>
      <c r="J215" s="119"/>
      <c r="K215" s="35"/>
    </row>
    <row r="216" hidden="1">
      <c r="B216" s="116"/>
      <c r="G216" s="167"/>
      <c r="H216" s="118"/>
      <c r="I216" s="119"/>
      <c r="J216" s="119"/>
      <c r="K216" s="35"/>
    </row>
    <row r="217" hidden="1">
      <c r="B217" s="116"/>
      <c r="G217" s="167"/>
      <c r="H217" s="118"/>
      <c r="I217" s="119"/>
      <c r="J217" s="119"/>
      <c r="K217" s="35"/>
    </row>
    <row r="218" hidden="1">
      <c r="B218" s="116"/>
      <c r="G218" s="167"/>
      <c r="H218" s="118"/>
      <c r="I218" s="119"/>
      <c r="J218" s="119"/>
      <c r="K218" s="35"/>
    </row>
    <row r="219" hidden="1">
      <c r="B219" s="116"/>
      <c r="G219" s="167"/>
      <c r="H219" s="118"/>
      <c r="I219" s="119"/>
      <c r="J219" s="119"/>
      <c r="K219" s="35"/>
    </row>
    <row r="220" hidden="1">
      <c r="B220" s="116"/>
      <c r="G220" s="167"/>
      <c r="H220" s="118"/>
      <c r="I220" s="119"/>
      <c r="J220" s="119"/>
      <c r="K220" s="35"/>
    </row>
    <row r="221" hidden="1">
      <c r="B221" s="116"/>
      <c r="G221" s="167"/>
      <c r="H221" s="118"/>
      <c r="I221" s="119"/>
      <c r="J221" s="119"/>
      <c r="K221" s="35"/>
    </row>
    <row r="222" hidden="1">
      <c r="B222" s="116"/>
      <c r="G222" s="167"/>
      <c r="H222" s="118"/>
      <c r="I222" s="119"/>
      <c r="J222" s="119"/>
      <c r="K222" s="35"/>
    </row>
    <row r="223" hidden="1">
      <c r="B223" s="116"/>
      <c r="G223" s="167"/>
      <c r="H223" s="118"/>
      <c r="I223" s="119"/>
      <c r="J223" s="119"/>
      <c r="K223" s="35"/>
    </row>
    <row r="224" hidden="1">
      <c r="B224" s="116"/>
      <c r="G224" s="167"/>
      <c r="H224" s="118"/>
      <c r="I224" s="119"/>
      <c r="J224" s="119"/>
      <c r="K224" s="35"/>
    </row>
    <row r="225" hidden="1">
      <c r="B225" s="116"/>
      <c r="G225" s="167"/>
      <c r="H225" s="118"/>
      <c r="I225" s="119"/>
      <c r="J225" s="119"/>
      <c r="K225" s="35"/>
    </row>
    <row r="226" hidden="1">
      <c r="B226" s="116"/>
      <c r="G226" s="167"/>
      <c r="H226" s="118"/>
      <c r="I226" s="119"/>
      <c r="J226" s="119"/>
      <c r="K226" s="35"/>
    </row>
    <row r="227" hidden="1">
      <c r="B227" s="116"/>
      <c r="G227" s="167"/>
      <c r="H227" s="118"/>
      <c r="I227" s="119"/>
      <c r="J227" s="119"/>
      <c r="K227" s="35"/>
    </row>
    <row r="228" hidden="1">
      <c r="B228" s="116"/>
      <c r="G228" s="167"/>
      <c r="H228" s="118"/>
      <c r="I228" s="119"/>
      <c r="J228" s="119"/>
      <c r="K228" s="35"/>
    </row>
    <row r="229" hidden="1">
      <c r="B229" s="116"/>
      <c r="G229" s="167"/>
      <c r="H229" s="118"/>
      <c r="I229" s="119"/>
      <c r="J229" s="119"/>
      <c r="K229" s="35"/>
    </row>
    <row r="230" hidden="1">
      <c r="B230" s="116"/>
      <c r="G230" s="167"/>
      <c r="H230" s="118"/>
      <c r="I230" s="119"/>
      <c r="J230" s="119"/>
      <c r="K230" s="35"/>
    </row>
    <row r="231" hidden="1">
      <c r="B231" s="116"/>
      <c r="G231" s="167"/>
      <c r="H231" s="118"/>
      <c r="I231" s="119"/>
      <c r="J231" s="119"/>
      <c r="K231" s="35"/>
    </row>
    <row r="232" hidden="1">
      <c r="B232" s="116"/>
      <c r="G232" s="167"/>
      <c r="H232" s="118"/>
      <c r="I232" s="119"/>
      <c r="J232" s="119"/>
      <c r="K232" s="35"/>
    </row>
    <row r="233" hidden="1">
      <c r="B233" s="116"/>
      <c r="G233" s="167"/>
      <c r="H233" s="118"/>
      <c r="I233" s="119"/>
      <c r="J233" s="119"/>
      <c r="K233" s="35"/>
    </row>
    <row r="234" hidden="1">
      <c r="B234" s="116"/>
      <c r="G234" s="167"/>
      <c r="H234" s="118"/>
      <c r="I234" s="119"/>
      <c r="J234" s="119"/>
      <c r="K234" s="35"/>
    </row>
    <row r="235" hidden="1">
      <c r="B235" s="116"/>
      <c r="G235" s="167"/>
      <c r="H235" s="118"/>
      <c r="I235" s="119"/>
      <c r="J235" s="119"/>
      <c r="K235" s="35"/>
    </row>
    <row r="236" hidden="1">
      <c r="B236" s="116"/>
      <c r="G236" s="167"/>
      <c r="H236" s="118"/>
      <c r="I236" s="119"/>
      <c r="J236" s="119"/>
      <c r="K236" s="35"/>
    </row>
    <row r="237" hidden="1">
      <c r="B237" s="116"/>
      <c r="G237" s="167"/>
      <c r="H237" s="118"/>
      <c r="I237" s="119"/>
      <c r="J237" s="119"/>
      <c r="K237" s="35"/>
    </row>
    <row r="238" hidden="1">
      <c r="B238" s="116"/>
      <c r="G238" s="167"/>
      <c r="H238" s="118"/>
      <c r="I238" s="119"/>
      <c r="J238" s="119"/>
      <c r="K238" s="35"/>
    </row>
    <row r="239" hidden="1">
      <c r="B239" s="116"/>
      <c r="G239" s="167"/>
      <c r="H239" s="118"/>
      <c r="I239" s="119"/>
      <c r="J239" s="119"/>
      <c r="K239" s="35"/>
    </row>
    <row r="240" hidden="1">
      <c r="B240" s="116"/>
      <c r="G240" s="167"/>
      <c r="H240" s="118"/>
      <c r="I240" s="119"/>
      <c r="J240" s="119"/>
      <c r="K240" s="35"/>
    </row>
    <row r="241" hidden="1">
      <c r="B241" s="116"/>
      <c r="G241" s="167"/>
      <c r="H241" s="118"/>
      <c r="I241" s="119"/>
      <c r="J241" s="119"/>
      <c r="K241" s="35"/>
    </row>
    <row r="242" hidden="1">
      <c r="B242" s="116"/>
      <c r="G242" s="167"/>
      <c r="H242" s="118"/>
      <c r="I242" s="119"/>
      <c r="J242" s="119"/>
      <c r="K242" s="35"/>
    </row>
    <row r="243" hidden="1">
      <c r="B243" s="116"/>
      <c r="G243" s="167"/>
      <c r="H243" s="118"/>
      <c r="I243" s="119"/>
      <c r="J243" s="119"/>
      <c r="K243" s="35"/>
    </row>
    <row r="244" hidden="1">
      <c r="B244" s="116"/>
      <c r="G244" s="167"/>
      <c r="H244" s="118"/>
      <c r="I244" s="119"/>
      <c r="J244" s="119"/>
      <c r="K244" s="35"/>
    </row>
    <row r="245" hidden="1">
      <c r="B245" s="116"/>
      <c r="G245" s="167"/>
      <c r="H245" s="118"/>
      <c r="I245" s="119"/>
      <c r="J245" s="119"/>
      <c r="K245" s="35"/>
    </row>
    <row r="246" hidden="1">
      <c r="B246" s="116"/>
      <c r="G246" s="167"/>
      <c r="H246" s="118"/>
      <c r="I246" s="119"/>
      <c r="J246" s="119"/>
      <c r="K246" s="35"/>
    </row>
    <row r="247" hidden="1">
      <c r="B247" s="116"/>
      <c r="G247" s="167"/>
      <c r="H247" s="118"/>
      <c r="I247" s="119"/>
      <c r="J247" s="119"/>
      <c r="K247" s="35"/>
    </row>
    <row r="248" hidden="1">
      <c r="B248" s="116"/>
      <c r="G248" s="167"/>
      <c r="H248" s="118"/>
      <c r="I248" s="119"/>
      <c r="J248" s="119"/>
      <c r="K248" s="35"/>
    </row>
    <row r="249" hidden="1">
      <c r="B249" s="116"/>
      <c r="G249" s="167"/>
      <c r="H249" s="118"/>
      <c r="I249" s="119"/>
      <c r="J249" s="119"/>
      <c r="K249" s="35"/>
    </row>
    <row r="250" hidden="1">
      <c r="B250" s="116"/>
      <c r="G250" s="167"/>
      <c r="H250" s="118"/>
      <c r="I250" s="119"/>
      <c r="J250" s="119"/>
      <c r="K250" s="35"/>
    </row>
    <row r="251" hidden="1">
      <c r="B251" s="116"/>
      <c r="G251" s="167"/>
      <c r="H251" s="118"/>
      <c r="I251" s="119"/>
      <c r="J251" s="119"/>
      <c r="K251" s="35"/>
    </row>
    <row r="252" hidden="1">
      <c r="B252" s="116"/>
      <c r="G252" s="167"/>
      <c r="H252" s="118"/>
      <c r="I252" s="119"/>
      <c r="J252" s="119"/>
      <c r="K252" s="35"/>
    </row>
    <row r="253" hidden="1">
      <c r="B253" s="116"/>
      <c r="G253" s="167"/>
      <c r="H253" s="118"/>
      <c r="I253" s="119"/>
      <c r="J253" s="119"/>
      <c r="K253" s="35"/>
    </row>
    <row r="254" hidden="1">
      <c r="B254" s="116"/>
      <c r="G254" s="167"/>
      <c r="H254" s="118"/>
      <c r="I254" s="119"/>
      <c r="J254" s="119"/>
      <c r="K254" s="35"/>
    </row>
    <row r="255" hidden="1">
      <c r="B255" s="116"/>
      <c r="G255" s="167"/>
      <c r="H255" s="118"/>
      <c r="I255" s="119"/>
      <c r="J255" s="119"/>
      <c r="K255" s="35"/>
    </row>
    <row r="256" hidden="1">
      <c r="B256" s="116"/>
      <c r="G256" s="167"/>
      <c r="H256" s="118"/>
      <c r="I256" s="119"/>
      <c r="J256" s="119"/>
      <c r="K256" s="35"/>
    </row>
    <row r="257" hidden="1">
      <c r="B257" s="116"/>
      <c r="G257" s="167"/>
      <c r="H257" s="118"/>
      <c r="I257" s="119"/>
      <c r="J257" s="119"/>
      <c r="K257" s="35"/>
    </row>
    <row r="258" hidden="1">
      <c r="B258" s="116"/>
      <c r="G258" s="167"/>
      <c r="H258" s="118"/>
      <c r="I258" s="119"/>
      <c r="J258" s="119"/>
      <c r="K258" s="35"/>
    </row>
    <row r="259" hidden="1">
      <c r="B259" s="116"/>
      <c r="G259" s="167"/>
      <c r="H259" s="118"/>
      <c r="I259" s="119"/>
      <c r="J259" s="119"/>
      <c r="K259" s="35"/>
    </row>
    <row r="260" hidden="1">
      <c r="B260" s="116"/>
      <c r="G260" s="167"/>
      <c r="H260" s="118"/>
      <c r="I260" s="119"/>
      <c r="J260" s="119"/>
      <c r="K260" s="35"/>
    </row>
    <row r="261" hidden="1">
      <c r="B261" s="116"/>
      <c r="G261" s="167"/>
      <c r="H261" s="118"/>
      <c r="I261" s="119"/>
      <c r="J261" s="119"/>
      <c r="K261" s="35"/>
    </row>
    <row r="262" hidden="1">
      <c r="B262" s="116"/>
      <c r="G262" s="167"/>
      <c r="H262" s="118"/>
      <c r="I262" s="119"/>
      <c r="J262" s="119"/>
      <c r="K262" s="35"/>
    </row>
    <row r="263" hidden="1">
      <c r="B263" s="116"/>
      <c r="G263" s="167"/>
      <c r="H263" s="118"/>
      <c r="I263" s="119"/>
      <c r="J263" s="119"/>
      <c r="K263" s="35"/>
    </row>
    <row r="264" hidden="1">
      <c r="B264" s="116"/>
      <c r="G264" s="167"/>
      <c r="H264" s="118"/>
      <c r="I264" s="119"/>
      <c r="J264" s="119"/>
      <c r="K264" s="35"/>
    </row>
    <row r="265" hidden="1">
      <c r="B265" s="116"/>
      <c r="G265" s="167"/>
      <c r="H265" s="118"/>
      <c r="I265" s="119"/>
      <c r="J265" s="119"/>
      <c r="K265" s="35"/>
    </row>
    <row r="266" hidden="1">
      <c r="B266" s="116"/>
      <c r="G266" s="167"/>
      <c r="H266" s="118"/>
      <c r="I266" s="119"/>
      <c r="J266" s="119"/>
      <c r="K266" s="35"/>
    </row>
    <row r="267" hidden="1">
      <c r="B267" s="116"/>
      <c r="G267" s="167"/>
      <c r="H267" s="118"/>
      <c r="I267" s="119"/>
      <c r="J267" s="119"/>
      <c r="K267" s="35"/>
    </row>
    <row r="268" hidden="1">
      <c r="B268" s="116"/>
      <c r="G268" s="167"/>
      <c r="H268" s="118"/>
      <c r="I268" s="119"/>
      <c r="J268" s="119"/>
      <c r="K268" s="35"/>
    </row>
    <row r="269" hidden="1">
      <c r="B269" s="116"/>
      <c r="G269" s="167"/>
      <c r="H269" s="118"/>
      <c r="I269" s="119"/>
      <c r="J269" s="119"/>
      <c r="K269" s="35"/>
    </row>
    <row r="270" hidden="1">
      <c r="B270" s="116"/>
      <c r="G270" s="167"/>
      <c r="H270" s="118"/>
      <c r="I270" s="119"/>
      <c r="J270" s="119"/>
      <c r="K270" s="35"/>
    </row>
    <row r="271" hidden="1">
      <c r="B271" s="116"/>
      <c r="G271" s="167"/>
      <c r="H271" s="118"/>
      <c r="I271" s="119"/>
      <c r="J271" s="119"/>
      <c r="K271" s="35"/>
    </row>
    <row r="272" hidden="1">
      <c r="B272" s="116"/>
      <c r="G272" s="167"/>
      <c r="H272" s="118"/>
      <c r="I272" s="119"/>
      <c r="J272" s="119"/>
      <c r="K272" s="35"/>
    </row>
    <row r="273" hidden="1">
      <c r="B273" s="116"/>
      <c r="G273" s="167"/>
      <c r="H273" s="118"/>
      <c r="I273" s="119"/>
      <c r="J273" s="119"/>
      <c r="K273" s="35"/>
    </row>
    <row r="274" hidden="1">
      <c r="B274" s="116"/>
      <c r="G274" s="167"/>
      <c r="H274" s="118"/>
      <c r="I274" s="119"/>
      <c r="J274" s="119"/>
      <c r="K274" s="35"/>
    </row>
    <row r="275" hidden="1">
      <c r="B275" s="116"/>
      <c r="G275" s="167"/>
      <c r="H275" s="118"/>
      <c r="I275" s="119"/>
      <c r="J275" s="119"/>
      <c r="K275" s="35"/>
    </row>
    <row r="276" hidden="1">
      <c r="B276" s="116"/>
      <c r="G276" s="167"/>
      <c r="H276" s="118"/>
      <c r="I276" s="119"/>
      <c r="J276" s="119"/>
      <c r="K276" s="35"/>
    </row>
    <row r="277" hidden="1">
      <c r="B277" s="116"/>
      <c r="G277" s="167"/>
      <c r="H277" s="118"/>
      <c r="I277" s="119"/>
      <c r="J277" s="119"/>
      <c r="K277" s="35"/>
    </row>
    <row r="278" hidden="1">
      <c r="B278" s="116"/>
      <c r="G278" s="167"/>
      <c r="H278" s="118"/>
      <c r="I278" s="119"/>
      <c r="J278" s="119"/>
      <c r="K278" s="35"/>
    </row>
    <row r="279" hidden="1">
      <c r="B279" s="116"/>
      <c r="G279" s="167"/>
      <c r="H279" s="118"/>
      <c r="I279" s="119"/>
      <c r="J279" s="119"/>
      <c r="K279" s="35"/>
    </row>
    <row r="280" hidden="1">
      <c r="B280" s="116"/>
      <c r="G280" s="167"/>
      <c r="H280" s="118"/>
      <c r="I280" s="119"/>
      <c r="J280" s="119"/>
      <c r="K280" s="35"/>
    </row>
    <row r="281" hidden="1">
      <c r="B281" s="116"/>
      <c r="G281" s="167"/>
      <c r="H281" s="118"/>
      <c r="I281" s="119"/>
      <c r="J281" s="119"/>
      <c r="K281" s="35"/>
    </row>
    <row r="282" hidden="1">
      <c r="B282" s="116"/>
      <c r="G282" s="167"/>
      <c r="H282" s="118"/>
      <c r="I282" s="119"/>
      <c r="J282" s="119"/>
      <c r="K282" s="35"/>
    </row>
    <row r="283" hidden="1">
      <c r="B283" s="116"/>
      <c r="G283" s="167"/>
      <c r="H283" s="118"/>
      <c r="I283" s="119"/>
      <c r="J283" s="119"/>
      <c r="K283" s="35"/>
    </row>
    <row r="284" hidden="1">
      <c r="B284" s="116"/>
      <c r="G284" s="167"/>
      <c r="H284" s="118"/>
      <c r="I284" s="119"/>
      <c r="J284" s="119"/>
      <c r="K284" s="35"/>
    </row>
    <row r="285" hidden="1">
      <c r="B285" s="116"/>
      <c r="G285" s="167"/>
      <c r="H285" s="118"/>
      <c r="I285" s="119"/>
      <c r="J285" s="119"/>
      <c r="K285" s="35"/>
    </row>
    <row r="286" hidden="1">
      <c r="B286" s="116"/>
      <c r="G286" s="167"/>
      <c r="H286" s="118"/>
      <c r="I286" s="119"/>
      <c r="J286" s="119"/>
      <c r="K286" s="35"/>
    </row>
    <row r="287" hidden="1">
      <c r="B287" s="116"/>
      <c r="G287" s="167"/>
      <c r="H287" s="118"/>
      <c r="I287" s="119"/>
      <c r="J287" s="119"/>
      <c r="K287" s="35"/>
    </row>
    <row r="288" hidden="1">
      <c r="B288" s="116"/>
      <c r="G288" s="167"/>
      <c r="H288" s="118"/>
      <c r="I288" s="119"/>
      <c r="J288" s="119"/>
      <c r="K288" s="35"/>
    </row>
    <row r="289" hidden="1">
      <c r="B289" s="116"/>
      <c r="G289" s="167"/>
      <c r="H289" s="118"/>
      <c r="I289" s="119"/>
      <c r="J289" s="119"/>
      <c r="K289" s="35"/>
    </row>
    <row r="290" hidden="1">
      <c r="B290" s="116"/>
      <c r="G290" s="167"/>
      <c r="H290" s="118"/>
      <c r="I290" s="119"/>
      <c r="J290" s="119"/>
      <c r="K290" s="35"/>
    </row>
    <row r="291" hidden="1">
      <c r="B291" s="116"/>
      <c r="G291" s="167"/>
      <c r="H291" s="118"/>
      <c r="I291" s="119"/>
      <c r="J291" s="119"/>
      <c r="K291" s="35"/>
    </row>
    <row r="292" hidden="1">
      <c r="B292" s="116"/>
      <c r="G292" s="167"/>
      <c r="H292" s="118"/>
      <c r="I292" s="119"/>
      <c r="J292" s="119"/>
      <c r="K292" s="35"/>
    </row>
    <row r="293" hidden="1">
      <c r="B293" s="116"/>
      <c r="G293" s="167"/>
      <c r="H293" s="118"/>
      <c r="I293" s="119"/>
      <c r="J293" s="119"/>
      <c r="K293" s="35"/>
    </row>
    <row r="294" hidden="1">
      <c r="B294" s="116"/>
      <c r="G294" s="167"/>
      <c r="H294" s="118"/>
      <c r="I294" s="119"/>
      <c r="J294" s="119"/>
      <c r="K294" s="35"/>
    </row>
    <row r="295" hidden="1">
      <c r="B295" s="116"/>
      <c r="G295" s="167"/>
      <c r="H295" s="118"/>
      <c r="I295" s="119"/>
      <c r="J295" s="119"/>
      <c r="K295" s="35"/>
    </row>
    <row r="296" hidden="1">
      <c r="B296" s="116"/>
      <c r="G296" s="167"/>
      <c r="H296" s="118"/>
      <c r="I296" s="119"/>
      <c r="J296" s="119"/>
      <c r="K296" s="35"/>
    </row>
    <row r="297" hidden="1">
      <c r="B297" s="116"/>
      <c r="G297" s="167"/>
      <c r="H297" s="118"/>
      <c r="I297" s="119"/>
      <c r="J297" s="119"/>
      <c r="K297" s="35"/>
    </row>
    <row r="298" hidden="1">
      <c r="B298" s="116"/>
      <c r="G298" s="167"/>
      <c r="H298" s="118"/>
      <c r="I298" s="119"/>
      <c r="J298" s="119"/>
      <c r="K298" s="35"/>
    </row>
    <row r="299" hidden="1">
      <c r="B299" s="116"/>
      <c r="G299" s="167"/>
      <c r="H299" s="118"/>
      <c r="I299" s="119"/>
      <c r="J299" s="119"/>
      <c r="K299" s="35"/>
    </row>
    <row r="300" hidden="1">
      <c r="B300" s="116"/>
      <c r="G300" s="167"/>
      <c r="H300" s="118"/>
      <c r="I300" s="119"/>
      <c r="J300" s="119"/>
      <c r="K300" s="35"/>
    </row>
    <row r="301" hidden="1">
      <c r="B301" s="116"/>
      <c r="G301" s="167"/>
      <c r="H301" s="118"/>
      <c r="I301" s="119"/>
      <c r="J301" s="119"/>
      <c r="K301" s="35"/>
    </row>
    <row r="302" hidden="1">
      <c r="B302" s="116"/>
      <c r="G302" s="167"/>
      <c r="H302" s="118"/>
      <c r="I302" s="119"/>
      <c r="J302" s="119"/>
      <c r="K302" s="35"/>
    </row>
    <row r="303" hidden="1">
      <c r="B303" s="116"/>
      <c r="G303" s="167"/>
      <c r="H303" s="118"/>
      <c r="I303" s="119"/>
      <c r="J303" s="119"/>
      <c r="K303" s="35"/>
    </row>
    <row r="304" hidden="1">
      <c r="B304" s="116"/>
      <c r="G304" s="167"/>
      <c r="H304" s="118"/>
      <c r="I304" s="119"/>
      <c r="J304" s="119"/>
      <c r="K304" s="35"/>
    </row>
    <row r="305" hidden="1">
      <c r="B305" s="116"/>
      <c r="G305" s="167"/>
      <c r="H305" s="118"/>
      <c r="I305" s="119"/>
      <c r="J305" s="119"/>
      <c r="K305" s="35"/>
    </row>
    <row r="306" hidden="1">
      <c r="B306" s="116"/>
      <c r="G306" s="167"/>
      <c r="H306" s="118"/>
      <c r="I306" s="119"/>
      <c r="J306" s="119"/>
      <c r="K306" s="35"/>
    </row>
    <row r="307" hidden="1">
      <c r="B307" s="116"/>
      <c r="G307" s="167"/>
      <c r="H307" s="118"/>
      <c r="I307" s="119"/>
      <c r="J307" s="119"/>
      <c r="K307" s="35"/>
    </row>
    <row r="308" hidden="1">
      <c r="B308" s="116"/>
      <c r="G308" s="167"/>
      <c r="H308" s="118"/>
      <c r="I308" s="119"/>
      <c r="J308" s="119"/>
      <c r="K308" s="35"/>
    </row>
    <row r="309" hidden="1">
      <c r="B309" s="116"/>
      <c r="G309" s="167"/>
      <c r="H309" s="118"/>
      <c r="I309" s="119"/>
      <c r="J309" s="119"/>
      <c r="K309" s="35"/>
    </row>
    <row r="310" hidden="1">
      <c r="B310" s="116"/>
      <c r="G310" s="167"/>
      <c r="H310" s="118"/>
      <c r="I310" s="119"/>
      <c r="J310" s="119"/>
      <c r="K310" s="35"/>
    </row>
    <row r="311" hidden="1">
      <c r="B311" s="116"/>
      <c r="G311" s="167"/>
      <c r="H311" s="118"/>
      <c r="I311" s="119"/>
      <c r="J311" s="119"/>
      <c r="K311" s="35"/>
    </row>
    <row r="312" hidden="1">
      <c r="B312" s="116"/>
      <c r="G312" s="167"/>
      <c r="H312" s="118"/>
      <c r="I312" s="119"/>
      <c r="J312" s="119"/>
      <c r="K312" s="35"/>
    </row>
    <row r="313" hidden="1">
      <c r="B313" s="116"/>
      <c r="G313" s="167"/>
      <c r="H313" s="118"/>
      <c r="I313" s="119"/>
      <c r="J313" s="119"/>
      <c r="K313" s="35"/>
    </row>
    <row r="314" hidden="1">
      <c r="B314" s="116"/>
      <c r="G314" s="167"/>
      <c r="H314" s="118"/>
      <c r="I314" s="119"/>
      <c r="J314" s="119"/>
      <c r="K314" s="35"/>
    </row>
    <row r="315" hidden="1">
      <c r="B315" s="116"/>
      <c r="G315" s="167"/>
      <c r="H315" s="118"/>
      <c r="I315" s="119"/>
      <c r="J315" s="119"/>
      <c r="K315" s="35"/>
    </row>
    <row r="316" hidden="1">
      <c r="B316" s="116"/>
      <c r="G316" s="167"/>
      <c r="H316" s="118"/>
      <c r="I316" s="119"/>
      <c r="J316" s="119"/>
      <c r="K316" s="35"/>
    </row>
    <row r="317" hidden="1">
      <c r="B317" s="116"/>
      <c r="G317" s="167"/>
      <c r="H317" s="118"/>
      <c r="I317" s="119"/>
      <c r="J317" s="119"/>
      <c r="K317" s="35"/>
    </row>
    <row r="318" hidden="1">
      <c r="B318" s="116"/>
      <c r="G318" s="167"/>
      <c r="H318" s="118"/>
      <c r="I318" s="119"/>
      <c r="J318" s="119"/>
      <c r="K318" s="35"/>
    </row>
    <row r="319" hidden="1">
      <c r="B319" s="116"/>
      <c r="G319" s="167"/>
      <c r="H319" s="118"/>
      <c r="I319" s="119"/>
      <c r="J319" s="119"/>
      <c r="K319" s="35"/>
    </row>
    <row r="320" hidden="1">
      <c r="B320" s="116"/>
      <c r="G320" s="167"/>
      <c r="H320" s="118"/>
      <c r="I320" s="119"/>
      <c r="J320" s="119"/>
      <c r="K320" s="35"/>
    </row>
    <row r="321" hidden="1">
      <c r="B321" s="116"/>
      <c r="G321" s="167"/>
      <c r="H321" s="118"/>
      <c r="I321" s="119"/>
      <c r="J321" s="119"/>
      <c r="K321" s="35"/>
    </row>
    <row r="322" hidden="1">
      <c r="B322" s="116"/>
      <c r="G322" s="167"/>
      <c r="H322" s="118"/>
      <c r="I322" s="119"/>
      <c r="J322" s="119"/>
      <c r="K322" s="35"/>
    </row>
    <row r="323" hidden="1">
      <c r="B323" s="116"/>
      <c r="G323" s="167"/>
      <c r="H323" s="118"/>
      <c r="I323" s="119"/>
      <c r="J323" s="119"/>
      <c r="K323" s="35"/>
    </row>
    <row r="324" hidden="1">
      <c r="B324" s="116"/>
      <c r="G324" s="167"/>
      <c r="H324" s="118"/>
      <c r="I324" s="119"/>
      <c r="J324" s="119"/>
      <c r="K324" s="35"/>
    </row>
    <row r="325" hidden="1">
      <c r="B325" s="116"/>
      <c r="G325" s="167"/>
      <c r="H325" s="118"/>
      <c r="I325" s="119"/>
      <c r="J325" s="119"/>
      <c r="K325" s="35"/>
    </row>
    <row r="326" hidden="1">
      <c r="B326" s="116"/>
      <c r="G326" s="167"/>
      <c r="H326" s="118"/>
      <c r="I326" s="119"/>
      <c r="J326" s="119"/>
      <c r="K326" s="35"/>
    </row>
    <row r="327" hidden="1">
      <c r="B327" s="116"/>
      <c r="G327" s="167"/>
      <c r="H327" s="118"/>
      <c r="I327" s="119"/>
      <c r="J327" s="119"/>
      <c r="K327" s="35"/>
    </row>
    <row r="328" hidden="1">
      <c r="B328" s="116"/>
      <c r="G328" s="167"/>
      <c r="H328" s="118"/>
      <c r="I328" s="119"/>
      <c r="J328" s="119"/>
      <c r="K328" s="35"/>
    </row>
    <row r="329" hidden="1">
      <c r="B329" s="116"/>
      <c r="G329" s="167"/>
      <c r="H329" s="118"/>
      <c r="I329" s="119"/>
      <c r="J329" s="119"/>
      <c r="K329" s="35"/>
    </row>
    <row r="330" hidden="1">
      <c r="B330" s="116"/>
      <c r="G330" s="167"/>
      <c r="H330" s="118"/>
      <c r="I330" s="119"/>
      <c r="J330" s="119"/>
      <c r="K330" s="35"/>
    </row>
    <row r="331" hidden="1">
      <c r="B331" s="116"/>
      <c r="G331" s="167"/>
      <c r="H331" s="118"/>
      <c r="I331" s="119"/>
      <c r="J331" s="119"/>
      <c r="K331" s="35"/>
    </row>
    <row r="332" hidden="1">
      <c r="B332" s="116"/>
      <c r="G332" s="167"/>
      <c r="H332" s="118"/>
      <c r="I332" s="119"/>
      <c r="J332" s="119"/>
      <c r="K332" s="35"/>
    </row>
    <row r="333" hidden="1">
      <c r="B333" s="116"/>
      <c r="G333" s="167"/>
      <c r="H333" s="118"/>
      <c r="I333" s="119"/>
      <c r="J333" s="119"/>
      <c r="K333" s="35"/>
    </row>
    <row r="334" hidden="1">
      <c r="B334" s="116"/>
      <c r="G334" s="167"/>
      <c r="H334" s="118"/>
      <c r="I334" s="119"/>
      <c r="J334" s="119"/>
      <c r="K334" s="35"/>
    </row>
    <row r="335" hidden="1">
      <c r="B335" s="116"/>
      <c r="G335" s="167"/>
      <c r="H335" s="118"/>
      <c r="I335" s="119"/>
      <c r="J335" s="119"/>
      <c r="K335" s="35"/>
    </row>
    <row r="336" hidden="1">
      <c r="B336" s="116"/>
      <c r="G336" s="167"/>
      <c r="H336" s="118"/>
      <c r="I336" s="119"/>
      <c r="J336" s="119"/>
      <c r="K336" s="35"/>
    </row>
    <row r="337" hidden="1">
      <c r="B337" s="116"/>
      <c r="G337" s="167"/>
      <c r="H337" s="118"/>
      <c r="I337" s="119"/>
      <c r="J337" s="119"/>
      <c r="K337" s="35"/>
    </row>
    <row r="338" hidden="1">
      <c r="B338" s="116"/>
      <c r="G338" s="167"/>
      <c r="H338" s="118"/>
      <c r="I338" s="119"/>
      <c r="J338" s="119"/>
      <c r="K338" s="35"/>
    </row>
    <row r="339" hidden="1">
      <c r="B339" s="116"/>
      <c r="G339" s="167"/>
      <c r="H339" s="118"/>
      <c r="I339" s="119"/>
      <c r="J339" s="119"/>
      <c r="K339" s="35"/>
    </row>
    <row r="340" hidden="1">
      <c r="B340" s="116"/>
      <c r="G340" s="167"/>
      <c r="H340" s="118"/>
      <c r="I340" s="119"/>
      <c r="J340" s="119"/>
      <c r="K340" s="35"/>
    </row>
    <row r="341" hidden="1">
      <c r="B341" s="116"/>
      <c r="G341" s="167"/>
      <c r="H341" s="118"/>
      <c r="I341" s="119"/>
      <c r="J341" s="119"/>
      <c r="K341" s="35"/>
    </row>
    <row r="342" hidden="1">
      <c r="B342" s="116"/>
      <c r="G342" s="167"/>
      <c r="H342" s="118"/>
      <c r="I342" s="119"/>
      <c r="J342" s="119"/>
      <c r="K342" s="35"/>
    </row>
    <row r="343" hidden="1">
      <c r="B343" s="116"/>
      <c r="G343" s="167"/>
      <c r="H343" s="118"/>
      <c r="I343" s="119"/>
      <c r="J343" s="119"/>
      <c r="K343" s="35"/>
    </row>
    <row r="344" hidden="1">
      <c r="B344" s="116"/>
      <c r="G344" s="167"/>
      <c r="H344" s="118"/>
      <c r="I344" s="119"/>
      <c r="J344" s="119"/>
      <c r="K344" s="35"/>
    </row>
    <row r="345" hidden="1">
      <c r="B345" s="116"/>
      <c r="G345" s="167"/>
      <c r="H345" s="118"/>
      <c r="I345" s="119"/>
      <c r="J345" s="119"/>
      <c r="K345" s="35"/>
    </row>
    <row r="346" hidden="1">
      <c r="B346" s="116"/>
      <c r="G346" s="167"/>
      <c r="H346" s="118"/>
      <c r="I346" s="119"/>
      <c r="J346" s="119"/>
      <c r="K346" s="35"/>
    </row>
    <row r="347" hidden="1">
      <c r="B347" s="116"/>
      <c r="G347" s="167"/>
      <c r="H347" s="118"/>
      <c r="I347" s="119"/>
      <c r="J347" s="119"/>
      <c r="K347" s="35"/>
    </row>
    <row r="348" hidden="1">
      <c r="B348" s="116"/>
      <c r="G348" s="167"/>
      <c r="H348" s="118"/>
      <c r="I348" s="119"/>
      <c r="J348" s="119"/>
      <c r="K348" s="35"/>
    </row>
    <row r="349" hidden="1">
      <c r="B349" s="116"/>
      <c r="G349" s="167"/>
      <c r="H349" s="118"/>
      <c r="I349" s="119"/>
      <c r="J349" s="119"/>
      <c r="K349" s="35"/>
    </row>
    <row r="350" hidden="1">
      <c r="B350" s="116"/>
      <c r="G350" s="167"/>
      <c r="H350" s="118"/>
      <c r="I350" s="119"/>
      <c r="J350" s="119"/>
      <c r="K350" s="35"/>
    </row>
    <row r="351" hidden="1">
      <c r="B351" s="116"/>
      <c r="G351" s="167"/>
      <c r="H351" s="118"/>
      <c r="I351" s="119"/>
      <c r="J351" s="119"/>
      <c r="K351" s="35"/>
    </row>
    <row r="352" hidden="1">
      <c r="B352" s="116"/>
      <c r="G352" s="167"/>
      <c r="H352" s="118"/>
      <c r="I352" s="119"/>
      <c r="J352" s="119"/>
      <c r="K352" s="35"/>
    </row>
    <row r="353" hidden="1">
      <c r="B353" s="116"/>
      <c r="G353" s="167"/>
      <c r="H353" s="118"/>
      <c r="I353" s="119"/>
      <c r="J353" s="119"/>
      <c r="K353" s="35"/>
    </row>
    <row r="354" hidden="1">
      <c r="B354" s="116"/>
      <c r="G354" s="167"/>
      <c r="H354" s="118"/>
      <c r="I354" s="119"/>
      <c r="J354" s="119"/>
      <c r="K354" s="35"/>
    </row>
    <row r="355" hidden="1">
      <c r="B355" s="116"/>
      <c r="G355" s="167"/>
      <c r="H355" s="118"/>
      <c r="I355" s="119"/>
      <c r="J355" s="119"/>
      <c r="K355" s="35"/>
    </row>
    <row r="356" hidden="1">
      <c r="B356" s="116"/>
      <c r="G356" s="167"/>
      <c r="H356" s="118"/>
      <c r="I356" s="119"/>
      <c r="J356" s="119"/>
      <c r="K356" s="35"/>
    </row>
    <row r="357" hidden="1">
      <c r="B357" s="116"/>
      <c r="G357" s="167"/>
      <c r="H357" s="118"/>
      <c r="I357" s="119"/>
      <c r="J357" s="119"/>
      <c r="K357" s="35"/>
    </row>
    <row r="358" hidden="1">
      <c r="B358" s="116"/>
      <c r="G358" s="167"/>
      <c r="H358" s="118"/>
      <c r="I358" s="119"/>
      <c r="J358" s="119"/>
      <c r="K358" s="35"/>
    </row>
    <row r="359" hidden="1">
      <c r="B359" s="116"/>
      <c r="G359" s="167"/>
      <c r="H359" s="118"/>
      <c r="I359" s="119"/>
      <c r="J359" s="119"/>
      <c r="K359" s="35"/>
    </row>
    <row r="360" hidden="1">
      <c r="B360" s="116"/>
      <c r="G360" s="167"/>
      <c r="H360" s="118"/>
      <c r="I360" s="119"/>
      <c r="J360" s="119"/>
      <c r="K360" s="35"/>
    </row>
    <row r="361" hidden="1">
      <c r="B361" s="116"/>
      <c r="G361" s="167"/>
      <c r="H361" s="118"/>
      <c r="I361" s="119"/>
      <c r="J361" s="119"/>
      <c r="K361" s="35"/>
    </row>
    <row r="362" hidden="1">
      <c r="B362" s="116"/>
      <c r="G362" s="167"/>
      <c r="H362" s="118"/>
      <c r="I362" s="119"/>
      <c r="J362" s="119"/>
      <c r="K362" s="35"/>
    </row>
    <row r="363" hidden="1">
      <c r="B363" s="116"/>
      <c r="G363" s="167"/>
      <c r="H363" s="118"/>
      <c r="I363" s="119"/>
      <c r="J363" s="119"/>
      <c r="K363" s="35"/>
    </row>
    <row r="364" hidden="1">
      <c r="B364" s="116"/>
      <c r="G364" s="167"/>
      <c r="H364" s="118"/>
      <c r="I364" s="119"/>
      <c r="J364" s="119"/>
      <c r="K364" s="35"/>
    </row>
    <row r="365" hidden="1">
      <c r="B365" s="116"/>
      <c r="G365" s="167"/>
      <c r="H365" s="118"/>
      <c r="I365" s="119"/>
      <c r="J365" s="119"/>
      <c r="K365" s="35"/>
    </row>
    <row r="366" hidden="1">
      <c r="B366" s="116"/>
      <c r="G366" s="167"/>
      <c r="H366" s="118"/>
      <c r="I366" s="119"/>
      <c r="J366" s="119"/>
      <c r="K366" s="35"/>
    </row>
    <row r="367" hidden="1">
      <c r="B367" s="116"/>
      <c r="G367" s="167"/>
      <c r="H367" s="118"/>
      <c r="I367" s="119"/>
      <c r="J367" s="119"/>
      <c r="K367" s="35"/>
    </row>
    <row r="368" hidden="1">
      <c r="B368" s="116"/>
      <c r="G368" s="167"/>
      <c r="H368" s="118"/>
      <c r="I368" s="119"/>
      <c r="J368" s="119"/>
      <c r="K368" s="35"/>
    </row>
    <row r="369" hidden="1">
      <c r="B369" s="116"/>
      <c r="G369" s="167"/>
      <c r="H369" s="118"/>
      <c r="I369" s="119"/>
      <c r="J369" s="119"/>
      <c r="K369" s="35"/>
    </row>
    <row r="370" hidden="1">
      <c r="B370" s="116"/>
      <c r="G370" s="167"/>
      <c r="H370" s="118"/>
      <c r="I370" s="119"/>
      <c r="J370" s="119"/>
      <c r="K370" s="35"/>
    </row>
    <row r="371" hidden="1">
      <c r="B371" s="116"/>
      <c r="G371" s="167"/>
      <c r="H371" s="118"/>
      <c r="I371" s="119"/>
      <c r="J371" s="119"/>
      <c r="K371" s="35"/>
    </row>
    <row r="372" hidden="1">
      <c r="B372" s="116"/>
      <c r="G372" s="167"/>
      <c r="H372" s="118"/>
      <c r="I372" s="119"/>
      <c r="J372" s="119"/>
      <c r="K372" s="35"/>
    </row>
    <row r="373" hidden="1">
      <c r="B373" s="116"/>
      <c r="G373" s="167"/>
      <c r="H373" s="118"/>
      <c r="I373" s="119"/>
      <c r="J373" s="119"/>
      <c r="K373" s="35"/>
    </row>
    <row r="374" hidden="1">
      <c r="B374" s="116"/>
      <c r="G374" s="167"/>
      <c r="H374" s="118"/>
      <c r="I374" s="119"/>
      <c r="J374" s="119"/>
      <c r="K374" s="35"/>
    </row>
    <row r="375" hidden="1">
      <c r="B375" s="116"/>
      <c r="G375" s="167"/>
      <c r="H375" s="118"/>
      <c r="I375" s="119"/>
      <c r="J375" s="119"/>
      <c r="K375" s="35"/>
    </row>
    <row r="376" hidden="1">
      <c r="B376" s="116"/>
      <c r="G376" s="167"/>
      <c r="H376" s="118"/>
      <c r="I376" s="119"/>
      <c r="J376" s="119"/>
      <c r="K376" s="35"/>
    </row>
    <row r="377" hidden="1">
      <c r="B377" s="116"/>
      <c r="G377" s="167"/>
      <c r="H377" s="118"/>
      <c r="I377" s="119"/>
      <c r="J377" s="119"/>
      <c r="K377" s="35"/>
    </row>
    <row r="378" hidden="1">
      <c r="B378" s="116"/>
      <c r="G378" s="167"/>
      <c r="H378" s="118"/>
      <c r="I378" s="119"/>
      <c r="J378" s="119"/>
      <c r="K378" s="35"/>
    </row>
    <row r="379" hidden="1">
      <c r="B379" s="116"/>
      <c r="G379" s="167"/>
      <c r="H379" s="118"/>
      <c r="I379" s="119"/>
      <c r="J379" s="119"/>
      <c r="K379" s="35"/>
    </row>
    <row r="380" hidden="1">
      <c r="B380" s="116"/>
      <c r="G380" s="167"/>
      <c r="H380" s="118"/>
      <c r="I380" s="119"/>
      <c r="J380" s="119"/>
      <c r="K380" s="35"/>
    </row>
    <row r="381" hidden="1">
      <c r="B381" s="116"/>
      <c r="G381" s="167"/>
      <c r="H381" s="118"/>
      <c r="I381" s="119"/>
      <c r="J381" s="119"/>
      <c r="K381" s="35"/>
    </row>
    <row r="382" hidden="1">
      <c r="B382" s="116"/>
      <c r="G382" s="167"/>
      <c r="H382" s="118"/>
      <c r="I382" s="119"/>
      <c r="J382" s="119"/>
      <c r="K382" s="35"/>
    </row>
    <row r="383" hidden="1">
      <c r="B383" s="116"/>
      <c r="G383" s="167"/>
      <c r="H383" s="118"/>
      <c r="I383" s="119"/>
      <c r="J383" s="119"/>
      <c r="K383" s="35"/>
    </row>
    <row r="384" hidden="1">
      <c r="B384" s="116"/>
      <c r="G384" s="167"/>
      <c r="H384" s="118"/>
      <c r="I384" s="119"/>
      <c r="J384" s="119"/>
      <c r="K384" s="35"/>
    </row>
    <row r="385" hidden="1">
      <c r="B385" s="116"/>
      <c r="G385" s="167"/>
      <c r="H385" s="118"/>
      <c r="I385" s="119"/>
      <c r="J385" s="119"/>
      <c r="K385" s="35"/>
    </row>
    <row r="386" hidden="1">
      <c r="B386" s="116"/>
      <c r="G386" s="167"/>
      <c r="H386" s="118"/>
      <c r="I386" s="119"/>
      <c r="J386" s="119"/>
      <c r="K386" s="35"/>
    </row>
    <row r="387" hidden="1">
      <c r="B387" s="116"/>
      <c r="G387" s="167"/>
      <c r="H387" s="118"/>
      <c r="I387" s="119"/>
      <c r="J387" s="119"/>
      <c r="K387" s="35"/>
    </row>
    <row r="388" hidden="1">
      <c r="B388" s="116"/>
      <c r="G388" s="167"/>
      <c r="H388" s="118"/>
      <c r="I388" s="119"/>
      <c r="J388" s="119"/>
      <c r="K388" s="35"/>
    </row>
    <row r="389" hidden="1">
      <c r="B389" s="116"/>
      <c r="G389" s="167"/>
      <c r="H389" s="118"/>
      <c r="I389" s="119"/>
      <c r="J389" s="119"/>
      <c r="K389" s="35"/>
    </row>
    <row r="390" hidden="1">
      <c r="B390" s="116"/>
      <c r="G390" s="167"/>
      <c r="H390" s="118"/>
      <c r="I390" s="119"/>
      <c r="J390" s="119"/>
      <c r="K390" s="35"/>
    </row>
    <row r="391" hidden="1">
      <c r="B391" s="116"/>
      <c r="G391" s="167"/>
      <c r="H391" s="118"/>
      <c r="I391" s="119"/>
      <c r="J391" s="119"/>
      <c r="K391" s="35"/>
    </row>
    <row r="392" hidden="1">
      <c r="B392" s="116"/>
      <c r="G392" s="167"/>
      <c r="H392" s="118"/>
      <c r="I392" s="119"/>
      <c r="J392" s="119"/>
      <c r="K392" s="35"/>
    </row>
    <row r="393" hidden="1">
      <c r="B393" s="116"/>
      <c r="G393" s="167"/>
      <c r="H393" s="118"/>
      <c r="I393" s="119"/>
      <c r="J393" s="119"/>
      <c r="K393" s="35"/>
    </row>
    <row r="394" hidden="1">
      <c r="B394" s="116"/>
      <c r="G394" s="167"/>
      <c r="H394" s="118"/>
      <c r="I394" s="119"/>
      <c r="J394" s="119"/>
      <c r="K394" s="35"/>
    </row>
    <row r="395" hidden="1">
      <c r="B395" s="116"/>
      <c r="G395" s="167"/>
      <c r="H395" s="118"/>
      <c r="I395" s="119"/>
      <c r="J395" s="119"/>
      <c r="K395" s="35"/>
    </row>
    <row r="396" hidden="1">
      <c r="B396" s="116"/>
      <c r="G396" s="167"/>
      <c r="H396" s="118"/>
      <c r="I396" s="119"/>
      <c r="J396" s="119"/>
      <c r="K396" s="35"/>
    </row>
    <row r="397" hidden="1">
      <c r="B397" s="116"/>
      <c r="G397" s="167"/>
      <c r="H397" s="118"/>
      <c r="I397" s="119"/>
      <c r="J397" s="119"/>
      <c r="K397" s="35"/>
    </row>
    <row r="398" hidden="1">
      <c r="B398" s="116"/>
      <c r="G398" s="167"/>
      <c r="H398" s="118"/>
      <c r="I398" s="119"/>
      <c r="J398" s="119"/>
      <c r="K398" s="35"/>
    </row>
    <row r="399" hidden="1">
      <c r="B399" s="116"/>
      <c r="G399" s="167"/>
      <c r="H399" s="118"/>
      <c r="I399" s="119"/>
      <c r="J399" s="119"/>
      <c r="K399" s="35"/>
    </row>
    <row r="400" hidden="1">
      <c r="B400" s="116"/>
      <c r="G400" s="167"/>
      <c r="H400" s="118"/>
      <c r="I400" s="119"/>
      <c r="J400" s="119"/>
      <c r="K400" s="35"/>
    </row>
    <row r="401" hidden="1">
      <c r="B401" s="116"/>
      <c r="G401" s="167"/>
      <c r="H401" s="118"/>
      <c r="I401" s="119"/>
      <c r="J401" s="119"/>
      <c r="K401" s="35"/>
    </row>
    <row r="402" hidden="1">
      <c r="B402" s="116"/>
      <c r="G402" s="167"/>
      <c r="H402" s="118"/>
      <c r="I402" s="119"/>
      <c r="J402" s="119"/>
      <c r="K402" s="35"/>
    </row>
    <row r="403" hidden="1">
      <c r="B403" s="116"/>
      <c r="G403" s="167"/>
      <c r="H403" s="118"/>
      <c r="I403" s="119"/>
      <c r="J403" s="119"/>
      <c r="K403" s="35"/>
    </row>
    <row r="404" hidden="1">
      <c r="B404" s="116"/>
      <c r="G404" s="167"/>
      <c r="H404" s="118"/>
      <c r="I404" s="119"/>
      <c r="J404" s="119"/>
      <c r="K404" s="35"/>
    </row>
    <row r="405" hidden="1">
      <c r="B405" s="116"/>
      <c r="G405" s="167"/>
      <c r="H405" s="118"/>
      <c r="I405" s="119"/>
      <c r="J405" s="119"/>
      <c r="K405" s="35"/>
    </row>
    <row r="406" hidden="1">
      <c r="B406" s="116"/>
      <c r="G406" s="167"/>
      <c r="H406" s="118"/>
      <c r="I406" s="119"/>
      <c r="J406" s="119"/>
      <c r="K406" s="35"/>
    </row>
    <row r="407" hidden="1">
      <c r="B407" s="116"/>
      <c r="G407" s="167"/>
      <c r="H407" s="118"/>
      <c r="I407" s="119"/>
      <c r="J407" s="119"/>
      <c r="K407" s="35"/>
    </row>
    <row r="408" hidden="1">
      <c r="B408" s="116"/>
      <c r="G408" s="167"/>
      <c r="H408" s="118"/>
      <c r="I408" s="119"/>
      <c r="J408" s="119"/>
      <c r="K408" s="35"/>
    </row>
    <row r="409" hidden="1">
      <c r="B409" s="116"/>
      <c r="G409" s="167"/>
      <c r="H409" s="118"/>
      <c r="I409" s="119"/>
      <c r="J409" s="119"/>
      <c r="K409" s="35"/>
    </row>
    <row r="410" hidden="1">
      <c r="B410" s="116"/>
      <c r="G410" s="167"/>
      <c r="H410" s="118"/>
      <c r="I410" s="119"/>
      <c r="J410" s="119"/>
      <c r="K410" s="35"/>
    </row>
    <row r="411" hidden="1">
      <c r="B411" s="116"/>
      <c r="G411" s="167"/>
      <c r="H411" s="118"/>
      <c r="I411" s="119"/>
      <c r="J411" s="119"/>
      <c r="K411" s="35"/>
    </row>
    <row r="412" hidden="1">
      <c r="B412" s="116"/>
      <c r="G412" s="167"/>
      <c r="H412" s="118"/>
      <c r="I412" s="119"/>
      <c r="J412" s="119"/>
      <c r="K412" s="35"/>
    </row>
    <row r="413" hidden="1">
      <c r="B413" s="116"/>
      <c r="G413" s="167"/>
      <c r="H413" s="118"/>
      <c r="I413" s="119"/>
      <c r="J413" s="119"/>
      <c r="K413" s="35"/>
    </row>
    <row r="414" hidden="1">
      <c r="B414" s="116"/>
      <c r="G414" s="167"/>
      <c r="H414" s="118"/>
      <c r="I414" s="119"/>
      <c r="J414" s="119"/>
      <c r="K414" s="35"/>
    </row>
    <row r="415" hidden="1">
      <c r="B415" s="116"/>
      <c r="G415" s="167"/>
      <c r="H415" s="118"/>
      <c r="I415" s="119"/>
      <c r="J415" s="119"/>
      <c r="K415" s="35"/>
    </row>
    <row r="416" hidden="1">
      <c r="B416" s="116"/>
      <c r="G416" s="167"/>
      <c r="H416" s="118"/>
      <c r="I416" s="119"/>
      <c r="J416" s="119"/>
      <c r="K416" s="35"/>
    </row>
    <row r="417" hidden="1">
      <c r="B417" s="116"/>
      <c r="G417" s="167"/>
      <c r="H417" s="118"/>
      <c r="I417" s="119"/>
      <c r="J417" s="119"/>
      <c r="K417" s="35"/>
    </row>
    <row r="418" hidden="1">
      <c r="B418" s="116"/>
      <c r="G418" s="167"/>
      <c r="H418" s="118"/>
      <c r="I418" s="119"/>
      <c r="J418" s="119"/>
      <c r="K418" s="35"/>
    </row>
    <row r="419" hidden="1">
      <c r="B419" s="116"/>
      <c r="G419" s="167"/>
      <c r="H419" s="118"/>
      <c r="I419" s="119"/>
      <c r="J419" s="119"/>
      <c r="K419" s="35"/>
    </row>
    <row r="420" hidden="1">
      <c r="B420" s="116"/>
      <c r="G420" s="167"/>
      <c r="H420" s="118"/>
      <c r="I420" s="119"/>
      <c r="J420" s="119"/>
      <c r="K420" s="35"/>
    </row>
    <row r="421" hidden="1">
      <c r="B421" s="116"/>
      <c r="G421" s="167"/>
      <c r="H421" s="118"/>
      <c r="I421" s="119"/>
      <c r="J421" s="119"/>
      <c r="K421" s="35"/>
    </row>
    <row r="422" hidden="1">
      <c r="B422" s="116"/>
      <c r="G422" s="167"/>
      <c r="H422" s="118"/>
      <c r="I422" s="119"/>
      <c r="J422" s="119"/>
      <c r="K422" s="35"/>
    </row>
    <row r="423" hidden="1">
      <c r="B423" s="116"/>
      <c r="G423" s="167"/>
      <c r="H423" s="118"/>
      <c r="I423" s="119"/>
      <c r="J423" s="119"/>
      <c r="K423" s="35"/>
    </row>
    <row r="424" hidden="1">
      <c r="B424" s="116"/>
      <c r="G424" s="167"/>
      <c r="H424" s="118"/>
      <c r="I424" s="119"/>
      <c r="J424" s="119"/>
      <c r="K424" s="35"/>
    </row>
    <row r="425" hidden="1">
      <c r="B425" s="116"/>
      <c r="G425" s="167"/>
      <c r="H425" s="118"/>
      <c r="I425" s="119"/>
      <c r="J425" s="119"/>
      <c r="K425" s="35"/>
    </row>
    <row r="426" hidden="1">
      <c r="B426" s="116"/>
      <c r="G426" s="167"/>
      <c r="H426" s="118"/>
      <c r="I426" s="119"/>
      <c r="J426" s="119"/>
      <c r="K426" s="35"/>
    </row>
    <row r="427" hidden="1">
      <c r="B427" s="116"/>
      <c r="G427" s="167"/>
      <c r="H427" s="118"/>
      <c r="I427" s="119"/>
      <c r="J427" s="119"/>
      <c r="K427" s="35"/>
    </row>
    <row r="428" hidden="1">
      <c r="B428" s="116"/>
      <c r="G428" s="167"/>
      <c r="H428" s="118"/>
      <c r="I428" s="119"/>
      <c r="J428" s="119"/>
      <c r="K428" s="35"/>
    </row>
    <row r="429" hidden="1">
      <c r="B429" s="116"/>
      <c r="G429" s="167"/>
      <c r="H429" s="118"/>
      <c r="I429" s="119"/>
      <c r="J429" s="119"/>
      <c r="K429" s="35"/>
    </row>
    <row r="430" hidden="1">
      <c r="B430" s="116"/>
      <c r="G430" s="167"/>
      <c r="H430" s="118"/>
      <c r="I430" s="119"/>
      <c r="J430" s="119"/>
      <c r="K430" s="35"/>
    </row>
    <row r="431" hidden="1">
      <c r="B431" s="116"/>
      <c r="G431" s="167"/>
      <c r="H431" s="118"/>
      <c r="I431" s="119"/>
      <c r="J431" s="119"/>
      <c r="K431" s="35"/>
    </row>
    <row r="432" hidden="1">
      <c r="B432" s="116"/>
      <c r="G432" s="167"/>
      <c r="H432" s="118"/>
      <c r="I432" s="119"/>
      <c r="J432" s="119"/>
      <c r="K432" s="35"/>
    </row>
    <row r="433" hidden="1">
      <c r="B433" s="116"/>
      <c r="G433" s="167"/>
      <c r="H433" s="118"/>
      <c r="I433" s="119"/>
      <c r="J433" s="119"/>
      <c r="K433" s="35"/>
    </row>
    <row r="434" hidden="1">
      <c r="B434" s="116"/>
      <c r="G434" s="167"/>
      <c r="H434" s="118"/>
      <c r="I434" s="119"/>
      <c r="J434" s="119"/>
      <c r="K434" s="35"/>
    </row>
    <row r="435" hidden="1">
      <c r="B435" s="116"/>
      <c r="G435" s="167"/>
      <c r="H435" s="118"/>
      <c r="I435" s="119"/>
      <c r="J435" s="119"/>
      <c r="K435" s="35"/>
    </row>
    <row r="436" hidden="1">
      <c r="B436" s="116"/>
      <c r="G436" s="167"/>
      <c r="H436" s="118"/>
      <c r="I436" s="119"/>
      <c r="J436" s="119"/>
      <c r="K436" s="35"/>
    </row>
    <row r="437" hidden="1">
      <c r="B437" s="116"/>
      <c r="G437" s="167"/>
      <c r="H437" s="118"/>
      <c r="I437" s="119"/>
      <c r="J437" s="119"/>
      <c r="K437" s="35"/>
    </row>
    <row r="438" hidden="1">
      <c r="B438" s="116"/>
      <c r="G438" s="167"/>
      <c r="H438" s="118"/>
      <c r="I438" s="119"/>
      <c r="J438" s="119"/>
      <c r="K438" s="35"/>
    </row>
    <row r="439" hidden="1">
      <c r="B439" s="116"/>
      <c r="G439" s="167"/>
      <c r="H439" s="118"/>
      <c r="I439" s="119"/>
      <c r="J439" s="119"/>
      <c r="K439" s="35"/>
    </row>
    <row r="440" hidden="1">
      <c r="B440" s="116"/>
      <c r="G440" s="167"/>
      <c r="H440" s="118"/>
      <c r="I440" s="119"/>
      <c r="J440" s="119"/>
      <c r="K440" s="35"/>
    </row>
    <row r="441" hidden="1">
      <c r="B441" s="116"/>
      <c r="G441" s="167"/>
      <c r="H441" s="118"/>
      <c r="I441" s="119"/>
      <c r="J441" s="119"/>
      <c r="K441" s="35"/>
    </row>
    <row r="442" hidden="1">
      <c r="B442" s="116"/>
      <c r="G442" s="167"/>
      <c r="H442" s="118"/>
      <c r="I442" s="119"/>
      <c r="J442" s="119"/>
      <c r="K442" s="35"/>
    </row>
    <row r="443" hidden="1">
      <c r="B443" s="116"/>
      <c r="G443" s="167"/>
      <c r="H443" s="118"/>
      <c r="I443" s="119"/>
      <c r="J443" s="119"/>
      <c r="K443" s="35"/>
    </row>
    <row r="444" hidden="1">
      <c r="B444" s="116"/>
      <c r="G444" s="167"/>
      <c r="H444" s="118"/>
      <c r="I444" s="119"/>
      <c r="J444" s="119"/>
      <c r="K444" s="35"/>
    </row>
    <row r="445" hidden="1">
      <c r="B445" s="116"/>
      <c r="G445" s="167"/>
      <c r="H445" s="118"/>
      <c r="I445" s="119"/>
      <c r="J445" s="119"/>
      <c r="K445" s="35"/>
    </row>
    <row r="446" hidden="1">
      <c r="B446" s="116"/>
      <c r="G446" s="167"/>
      <c r="H446" s="118"/>
      <c r="I446" s="119"/>
      <c r="J446" s="119"/>
      <c r="K446" s="35"/>
    </row>
    <row r="447" hidden="1">
      <c r="B447" s="116"/>
      <c r="G447" s="167"/>
      <c r="H447" s="118"/>
      <c r="I447" s="119"/>
      <c r="J447" s="119"/>
      <c r="K447" s="35"/>
    </row>
    <row r="448" hidden="1">
      <c r="B448" s="116"/>
      <c r="G448" s="167"/>
      <c r="H448" s="118"/>
      <c r="I448" s="119"/>
      <c r="J448" s="119"/>
      <c r="K448" s="35"/>
    </row>
    <row r="449" hidden="1">
      <c r="B449" s="116"/>
      <c r="G449" s="167"/>
      <c r="H449" s="118"/>
      <c r="I449" s="119"/>
      <c r="J449" s="119"/>
      <c r="K449" s="35"/>
    </row>
    <row r="450" hidden="1">
      <c r="B450" s="116"/>
      <c r="G450" s="167"/>
      <c r="H450" s="118"/>
      <c r="I450" s="119"/>
      <c r="J450" s="119"/>
      <c r="K450" s="35"/>
    </row>
    <row r="451" hidden="1">
      <c r="B451" s="116"/>
      <c r="G451" s="167"/>
      <c r="H451" s="118"/>
      <c r="I451" s="119"/>
      <c r="J451" s="119"/>
      <c r="K451" s="35"/>
    </row>
    <row r="452" hidden="1">
      <c r="B452" s="116"/>
      <c r="G452" s="167"/>
      <c r="H452" s="118"/>
      <c r="I452" s="119"/>
      <c r="J452" s="119"/>
      <c r="K452" s="35"/>
    </row>
    <row r="453" hidden="1">
      <c r="B453" s="116"/>
      <c r="G453" s="167"/>
      <c r="H453" s="118"/>
      <c r="I453" s="119"/>
      <c r="J453" s="119"/>
      <c r="K453" s="35"/>
    </row>
    <row r="454" hidden="1">
      <c r="B454" s="116"/>
      <c r="G454" s="167"/>
      <c r="H454" s="118"/>
      <c r="I454" s="119"/>
      <c r="J454" s="119"/>
      <c r="K454" s="35"/>
    </row>
    <row r="455" hidden="1">
      <c r="B455" s="116"/>
      <c r="G455" s="167"/>
      <c r="H455" s="118"/>
      <c r="I455" s="119"/>
      <c r="J455" s="119"/>
      <c r="K455" s="35"/>
    </row>
    <row r="456" hidden="1">
      <c r="B456" s="116"/>
      <c r="G456" s="167"/>
      <c r="H456" s="118"/>
      <c r="I456" s="119"/>
      <c r="J456" s="119"/>
      <c r="K456" s="35"/>
    </row>
    <row r="457" hidden="1">
      <c r="B457" s="116"/>
      <c r="G457" s="167"/>
      <c r="H457" s="118"/>
      <c r="I457" s="119"/>
      <c r="J457" s="119"/>
      <c r="K457" s="35"/>
    </row>
    <row r="458" hidden="1">
      <c r="B458" s="116"/>
      <c r="G458" s="167"/>
      <c r="H458" s="118"/>
      <c r="I458" s="119"/>
      <c r="J458" s="119"/>
      <c r="K458" s="35"/>
    </row>
    <row r="459" hidden="1">
      <c r="B459" s="116"/>
      <c r="G459" s="167"/>
      <c r="H459" s="118"/>
      <c r="I459" s="119"/>
      <c r="J459" s="119"/>
      <c r="K459" s="35"/>
    </row>
    <row r="460" hidden="1">
      <c r="B460" s="116"/>
      <c r="G460" s="167"/>
      <c r="H460" s="118"/>
      <c r="I460" s="119"/>
      <c r="J460" s="119"/>
      <c r="K460" s="35"/>
    </row>
    <row r="461" hidden="1">
      <c r="B461" s="116"/>
      <c r="G461" s="167"/>
      <c r="H461" s="118"/>
      <c r="I461" s="119"/>
      <c r="J461" s="119"/>
      <c r="K461" s="35"/>
    </row>
    <row r="462" hidden="1">
      <c r="B462" s="116"/>
      <c r="G462" s="167"/>
      <c r="H462" s="118"/>
      <c r="I462" s="119"/>
      <c r="J462" s="119"/>
      <c r="K462" s="35"/>
    </row>
    <row r="463" hidden="1">
      <c r="B463" s="116"/>
      <c r="G463" s="167"/>
      <c r="H463" s="118"/>
      <c r="I463" s="119"/>
      <c r="J463" s="119"/>
      <c r="K463" s="35"/>
    </row>
    <row r="464" hidden="1">
      <c r="B464" s="116"/>
      <c r="G464" s="167"/>
      <c r="H464" s="118"/>
      <c r="I464" s="119"/>
      <c r="J464" s="119"/>
      <c r="K464" s="35"/>
    </row>
    <row r="465" hidden="1">
      <c r="B465" s="116"/>
      <c r="G465" s="167"/>
      <c r="H465" s="118"/>
      <c r="I465" s="119"/>
      <c r="J465" s="119"/>
      <c r="K465" s="35"/>
    </row>
    <row r="466" hidden="1">
      <c r="B466" s="116"/>
      <c r="G466" s="167"/>
      <c r="H466" s="118"/>
      <c r="I466" s="119"/>
      <c r="J466" s="119"/>
      <c r="K466" s="35"/>
    </row>
    <row r="467" hidden="1">
      <c r="B467" s="116"/>
      <c r="G467" s="167"/>
      <c r="H467" s="118"/>
      <c r="I467" s="119"/>
      <c r="J467" s="119"/>
      <c r="K467" s="35"/>
    </row>
    <row r="468" hidden="1">
      <c r="B468" s="116"/>
      <c r="G468" s="167"/>
      <c r="H468" s="118"/>
      <c r="I468" s="119"/>
      <c r="J468" s="119"/>
      <c r="K468" s="35"/>
    </row>
    <row r="469" hidden="1">
      <c r="B469" s="116"/>
      <c r="G469" s="167"/>
      <c r="H469" s="118"/>
      <c r="I469" s="119"/>
      <c r="J469" s="119"/>
      <c r="K469" s="35"/>
    </row>
    <row r="470" hidden="1">
      <c r="B470" s="116"/>
      <c r="G470" s="167"/>
      <c r="H470" s="118"/>
      <c r="I470" s="119"/>
      <c r="J470" s="119"/>
      <c r="K470" s="35"/>
    </row>
    <row r="471" hidden="1">
      <c r="B471" s="116"/>
      <c r="G471" s="167"/>
      <c r="H471" s="118"/>
      <c r="I471" s="119"/>
      <c r="J471" s="119"/>
      <c r="K471" s="35"/>
    </row>
    <row r="472" hidden="1">
      <c r="B472" s="116"/>
      <c r="G472" s="167"/>
      <c r="H472" s="118"/>
      <c r="I472" s="119"/>
      <c r="J472" s="119"/>
      <c r="K472" s="35"/>
    </row>
    <row r="473" hidden="1">
      <c r="B473" s="116"/>
      <c r="G473" s="167"/>
      <c r="H473" s="118"/>
      <c r="I473" s="119"/>
      <c r="J473" s="119"/>
      <c r="K473" s="35"/>
    </row>
    <row r="474" hidden="1">
      <c r="B474" s="116"/>
      <c r="G474" s="167"/>
      <c r="H474" s="118"/>
      <c r="I474" s="119"/>
      <c r="J474" s="119"/>
      <c r="K474" s="35"/>
    </row>
    <row r="475" hidden="1">
      <c r="B475" s="116"/>
      <c r="G475" s="167"/>
      <c r="H475" s="118"/>
      <c r="I475" s="119"/>
      <c r="J475" s="119"/>
      <c r="K475" s="35"/>
    </row>
    <row r="476" hidden="1">
      <c r="B476" s="116"/>
      <c r="G476" s="167"/>
      <c r="H476" s="118"/>
      <c r="I476" s="119"/>
      <c r="J476" s="119"/>
      <c r="K476" s="35"/>
    </row>
    <row r="477" hidden="1">
      <c r="B477" s="116"/>
      <c r="G477" s="167"/>
      <c r="H477" s="118"/>
      <c r="I477" s="119"/>
      <c r="J477" s="119"/>
      <c r="K477" s="35"/>
    </row>
    <row r="478" hidden="1">
      <c r="B478" s="116"/>
      <c r="G478" s="167"/>
      <c r="H478" s="118"/>
      <c r="I478" s="119"/>
      <c r="J478" s="119"/>
      <c r="K478" s="35"/>
    </row>
    <row r="479" hidden="1">
      <c r="B479" s="116"/>
      <c r="G479" s="167"/>
      <c r="H479" s="118"/>
      <c r="I479" s="119"/>
      <c r="J479" s="119"/>
      <c r="K479" s="35"/>
    </row>
    <row r="480" hidden="1">
      <c r="B480" s="116"/>
      <c r="G480" s="167"/>
      <c r="H480" s="118"/>
      <c r="I480" s="119"/>
      <c r="J480" s="119"/>
      <c r="K480" s="35"/>
    </row>
    <row r="481" hidden="1">
      <c r="B481" s="116"/>
      <c r="G481" s="167"/>
      <c r="H481" s="118"/>
      <c r="I481" s="119"/>
      <c r="J481" s="119"/>
      <c r="K481" s="35"/>
    </row>
    <row r="482" hidden="1">
      <c r="B482" s="116"/>
      <c r="G482" s="167"/>
      <c r="H482" s="118"/>
      <c r="I482" s="119"/>
      <c r="J482" s="119"/>
      <c r="K482" s="35"/>
    </row>
    <row r="483" hidden="1">
      <c r="B483" s="116"/>
      <c r="G483" s="167"/>
      <c r="H483" s="118"/>
      <c r="I483" s="119"/>
      <c r="J483" s="119"/>
      <c r="K483" s="35"/>
    </row>
    <row r="484" hidden="1">
      <c r="B484" s="116"/>
      <c r="G484" s="167"/>
      <c r="H484" s="118"/>
      <c r="I484" s="119"/>
      <c r="J484" s="119"/>
      <c r="K484" s="35"/>
    </row>
    <row r="485" hidden="1">
      <c r="B485" s="116"/>
      <c r="G485" s="167"/>
      <c r="H485" s="118"/>
      <c r="I485" s="119"/>
      <c r="J485" s="119"/>
      <c r="K485" s="35"/>
    </row>
    <row r="486" hidden="1">
      <c r="B486" s="116"/>
      <c r="G486" s="167"/>
      <c r="H486" s="118"/>
      <c r="I486" s="119"/>
      <c r="J486" s="119"/>
      <c r="K486" s="35"/>
    </row>
    <row r="487" hidden="1">
      <c r="B487" s="116"/>
      <c r="G487" s="167"/>
      <c r="H487" s="118"/>
      <c r="I487" s="119"/>
      <c r="J487" s="119"/>
      <c r="K487" s="35"/>
    </row>
    <row r="488" hidden="1">
      <c r="B488" s="116"/>
      <c r="G488" s="167"/>
      <c r="H488" s="118"/>
      <c r="I488" s="119"/>
      <c r="J488" s="119"/>
      <c r="K488" s="35"/>
    </row>
    <row r="489" hidden="1">
      <c r="B489" s="116"/>
      <c r="G489" s="167"/>
      <c r="H489" s="118"/>
      <c r="I489" s="119"/>
      <c r="J489" s="119"/>
      <c r="K489" s="35"/>
    </row>
    <row r="490" hidden="1">
      <c r="B490" s="116"/>
      <c r="G490" s="167"/>
      <c r="H490" s="118"/>
      <c r="I490" s="119"/>
      <c r="J490" s="119"/>
      <c r="K490" s="35"/>
    </row>
    <row r="491" hidden="1">
      <c r="B491" s="116"/>
      <c r="G491" s="167"/>
      <c r="H491" s="118"/>
      <c r="I491" s="119"/>
      <c r="J491" s="119"/>
      <c r="K491" s="35"/>
    </row>
    <row r="492" hidden="1">
      <c r="B492" s="116"/>
      <c r="G492" s="167"/>
      <c r="H492" s="118"/>
      <c r="I492" s="119"/>
      <c r="J492" s="119"/>
      <c r="K492" s="35"/>
    </row>
    <row r="493" hidden="1">
      <c r="B493" s="116"/>
      <c r="G493" s="167"/>
      <c r="H493" s="118"/>
      <c r="I493" s="119"/>
      <c r="J493" s="119"/>
      <c r="K493" s="35"/>
    </row>
    <row r="494" hidden="1">
      <c r="B494" s="116"/>
      <c r="G494" s="167"/>
      <c r="H494" s="118"/>
      <c r="I494" s="119"/>
      <c r="J494" s="119"/>
      <c r="K494" s="35"/>
    </row>
    <row r="495" hidden="1">
      <c r="B495" s="116"/>
      <c r="G495" s="167"/>
      <c r="H495" s="118"/>
      <c r="I495" s="119"/>
      <c r="J495" s="119"/>
      <c r="K495" s="35"/>
    </row>
    <row r="496" hidden="1">
      <c r="B496" s="116"/>
      <c r="G496" s="167"/>
      <c r="H496" s="118"/>
      <c r="I496" s="119"/>
      <c r="J496" s="119"/>
      <c r="K496" s="35"/>
    </row>
    <row r="497" hidden="1">
      <c r="B497" s="116"/>
      <c r="G497" s="167"/>
      <c r="H497" s="118"/>
      <c r="I497" s="119"/>
      <c r="J497" s="119"/>
      <c r="K497" s="35"/>
    </row>
    <row r="498" hidden="1">
      <c r="B498" s="116"/>
      <c r="G498" s="167"/>
      <c r="H498" s="118"/>
      <c r="I498" s="119"/>
      <c r="J498" s="119"/>
      <c r="K498" s="35"/>
    </row>
    <row r="499" hidden="1">
      <c r="B499" s="116"/>
      <c r="G499" s="167"/>
      <c r="H499" s="118"/>
      <c r="I499" s="119"/>
      <c r="J499" s="119"/>
      <c r="K499" s="35"/>
    </row>
    <row r="500" hidden="1">
      <c r="B500" s="116"/>
      <c r="G500" s="167"/>
      <c r="H500" s="118"/>
      <c r="I500" s="119"/>
      <c r="J500" s="119"/>
      <c r="K500" s="35"/>
    </row>
    <row r="501" hidden="1">
      <c r="B501" s="116"/>
      <c r="G501" s="167"/>
      <c r="H501" s="118"/>
      <c r="I501" s="119"/>
      <c r="J501" s="119"/>
      <c r="K501" s="35"/>
    </row>
    <row r="502" hidden="1">
      <c r="B502" s="116"/>
      <c r="G502" s="167"/>
      <c r="H502" s="118"/>
      <c r="I502" s="119"/>
      <c r="J502" s="119"/>
      <c r="K502" s="35"/>
    </row>
    <row r="503" hidden="1">
      <c r="B503" s="116"/>
      <c r="G503" s="167"/>
      <c r="H503" s="118"/>
      <c r="I503" s="119"/>
      <c r="J503" s="119"/>
      <c r="K503" s="35"/>
    </row>
    <row r="504" hidden="1">
      <c r="B504" s="116"/>
      <c r="G504" s="167"/>
      <c r="H504" s="118"/>
      <c r="I504" s="119"/>
      <c r="J504" s="119"/>
      <c r="K504" s="35"/>
    </row>
    <row r="505" hidden="1">
      <c r="B505" s="116"/>
      <c r="G505" s="167"/>
      <c r="H505" s="118"/>
      <c r="I505" s="119"/>
      <c r="J505" s="119"/>
      <c r="K505" s="35"/>
    </row>
    <row r="506" hidden="1">
      <c r="B506" s="116"/>
      <c r="G506" s="167"/>
      <c r="H506" s="118"/>
      <c r="I506" s="119"/>
      <c r="J506" s="119"/>
      <c r="K506" s="35"/>
    </row>
    <row r="507" hidden="1">
      <c r="B507" s="116"/>
      <c r="G507" s="167"/>
      <c r="H507" s="118"/>
      <c r="I507" s="119"/>
      <c r="J507" s="119"/>
      <c r="K507" s="35"/>
    </row>
    <row r="508" hidden="1">
      <c r="B508" s="116"/>
      <c r="G508" s="167"/>
      <c r="H508" s="118"/>
      <c r="I508" s="119"/>
      <c r="J508" s="119"/>
      <c r="K508" s="35"/>
    </row>
    <row r="509" hidden="1">
      <c r="B509" s="116"/>
      <c r="G509" s="167"/>
      <c r="H509" s="118"/>
      <c r="I509" s="119"/>
      <c r="J509" s="119"/>
      <c r="K509" s="35"/>
    </row>
    <row r="510" hidden="1">
      <c r="B510" s="116"/>
      <c r="G510" s="167"/>
      <c r="H510" s="118"/>
      <c r="I510" s="119"/>
      <c r="J510" s="119"/>
      <c r="K510" s="35"/>
    </row>
    <row r="511" hidden="1">
      <c r="B511" s="116"/>
      <c r="G511" s="167"/>
      <c r="H511" s="118"/>
      <c r="I511" s="119"/>
      <c r="J511" s="119"/>
      <c r="K511" s="35"/>
    </row>
    <row r="512" hidden="1">
      <c r="B512" s="116"/>
      <c r="G512" s="167"/>
      <c r="H512" s="118"/>
      <c r="I512" s="119"/>
      <c r="J512" s="119"/>
      <c r="K512" s="35"/>
    </row>
    <row r="513" hidden="1">
      <c r="B513" s="116"/>
      <c r="G513" s="167"/>
      <c r="H513" s="118"/>
      <c r="I513" s="119"/>
      <c r="J513" s="119"/>
      <c r="K513" s="35"/>
    </row>
    <row r="514" hidden="1">
      <c r="B514" s="116"/>
      <c r="G514" s="167"/>
      <c r="H514" s="118"/>
      <c r="I514" s="119"/>
      <c r="J514" s="119"/>
      <c r="K514" s="35"/>
    </row>
    <row r="515" hidden="1">
      <c r="B515" s="116"/>
      <c r="G515" s="167"/>
      <c r="H515" s="118"/>
      <c r="I515" s="119"/>
      <c r="J515" s="119"/>
      <c r="K515" s="35"/>
    </row>
    <row r="516" hidden="1">
      <c r="B516" s="116"/>
      <c r="G516" s="167"/>
      <c r="H516" s="118"/>
      <c r="I516" s="119"/>
      <c r="J516" s="119"/>
      <c r="K516" s="35"/>
    </row>
    <row r="517" hidden="1">
      <c r="B517" s="116"/>
      <c r="G517" s="167"/>
      <c r="H517" s="118"/>
      <c r="I517" s="119"/>
      <c r="J517" s="119"/>
      <c r="K517" s="35"/>
    </row>
    <row r="518" hidden="1">
      <c r="B518" s="116"/>
      <c r="G518" s="167"/>
      <c r="H518" s="118"/>
      <c r="I518" s="119"/>
      <c r="J518" s="119"/>
      <c r="K518" s="35"/>
    </row>
    <row r="519" hidden="1">
      <c r="B519" s="116"/>
      <c r="G519" s="167"/>
      <c r="H519" s="118"/>
      <c r="I519" s="119"/>
      <c r="J519" s="119"/>
      <c r="K519" s="35"/>
    </row>
    <row r="520" hidden="1">
      <c r="B520" s="116"/>
      <c r="G520" s="167"/>
      <c r="H520" s="118"/>
      <c r="I520" s="119"/>
      <c r="J520" s="119"/>
      <c r="K520" s="35"/>
    </row>
    <row r="521" hidden="1">
      <c r="B521" s="116"/>
      <c r="G521" s="167"/>
      <c r="H521" s="118"/>
      <c r="I521" s="119"/>
      <c r="J521" s="119"/>
      <c r="K521" s="35"/>
    </row>
    <row r="522" hidden="1">
      <c r="B522" s="116"/>
      <c r="G522" s="167"/>
      <c r="H522" s="118"/>
      <c r="I522" s="119"/>
      <c r="J522" s="119"/>
      <c r="K522" s="35"/>
    </row>
    <row r="523" hidden="1">
      <c r="B523" s="116"/>
      <c r="G523" s="167"/>
      <c r="H523" s="118"/>
      <c r="I523" s="119"/>
      <c r="J523" s="119"/>
      <c r="K523" s="35"/>
    </row>
    <row r="524" hidden="1">
      <c r="B524" s="116"/>
      <c r="G524" s="167"/>
      <c r="H524" s="118"/>
      <c r="I524" s="119"/>
      <c r="J524" s="119"/>
      <c r="K524" s="35"/>
    </row>
    <row r="525" hidden="1">
      <c r="B525" s="116"/>
      <c r="G525" s="167"/>
      <c r="H525" s="118"/>
      <c r="I525" s="119"/>
      <c r="J525" s="119"/>
      <c r="K525" s="35"/>
    </row>
    <row r="526" hidden="1">
      <c r="B526" s="116"/>
      <c r="G526" s="167"/>
      <c r="H526" s="118"/>
      <c r="I526" s="119"/>
      <c r="J526" s="119"/>
      <c r="K526" s="35"/>
    </row>
    <row r="527" hidden="1">
      <c r="B527" s="116"/>
      <c r="G527" s="167"/>
      <c r="H527" s="118"/>
      <c r="I527" s="119"/>
      <c r="J527" s="119"/>
      <c r="K527" s="35"/>
    </row>
    <row r="528" hidden="1">
      <c r="B528" s="116"/>
      <c r="G528" s="167"/>
      <c r="H528" s="118"/>
      <c r="I528" s="119"/>
      <c r="J528" s="119"/>
      <c r="K528" s="35"/>
    </row>
    <row r="529" hidden="1">
      <c r="B529" s="116"/>
      <c r="G529" s="167"/>
      <c r="H529" s="118"/>
      <c r="I529" s="119"/>
      <c r="J529" s="119"/>
      <c r="K529" s="35"/>
    </row>
    <row r="530" hidden="1">
      <c r="B530" s="116"/>
      <c r="G530" s="167"/>
      <c r="H530" s="118"/>
      <c r="I530" s="119"/>
      <c r="J530" s="119"/>
      <c r="K530" s="35"/>
    </row>
    <row r="531" hidden="1">
      <c r="B531" s="116"/>
      <c r="G531" s="167"/>
      <c r="H531" s="118"/>
      <c r="I531" s="119"/>
      <c r="J531" s="119"/>
      <c r="K531" s="35"/>
    </row>
    <row r="532" hidden="1">
      <c r="B532" s="116"/>
      <c r="G532" s="167"/>
      <c r="H532" s="118"/>
      <c r="I532" s="119"/>
      <c r="J532" s="119"/>
      <c r="K532" s="35"/>
    </row>
    <row r="533" hidden="1">
      <c r="B533" s="116"/>
      <c r="G533" s="167"/>
      <c r="H533" s="118"/>
      <c r="I533" s="119"/>
      <c r="J533" s="119"/>
      <c r="K533" s="35"/>
    </row>
    <row r="534" hidden="1">
      <c r="B534" s="116"/>
      <c r="G534" s="167"/>
      <c r="H534" s="118"/>
      <c r="I534" s="119"/>
      <c r="J534" s="119"/>
      <c r="K534" s="35"/>
    </row>
    <row r="535" hidden="1">
      <c r="B535" s="116"/>
      <c r="G535" s="167"/>
      <c r="H535" s="118"/>
      <c r="I535" s="119"/>
      <c r="J535" s="119"/>
      <c r="K535" s="35"/>
    </row>
    <row r="536" hidden="1">
      <c r="B536" s="116"/>
      <c r="G536" s="167"/>
      <c r="H536" s="118"/>
      <c r="I536" s="119"/>
      <c r="J536" s="119"/>
      <c r="K536" s="35"/>
    </row>
    <row r="537" hidden="1">
      <c r="B537" s="116"/>
      <c r="G537" s="167"/>
      <c r="H537" s="118"/>
      <c r="I537" s="119"/>
      <c r="J537" s="119"/>
      <c r="K537" s="35"/>
    </row>
    <row r="538" hidden="1">
      <c r="B538" s="116"/>
      <c r="G538" s="167"/>
      <c r="H538" s="118"/>
      <c r="I538" s="119"/>
      <c r="J538" s="119"/>
      <c r="K538" s="35"/>
    </row>
    <row r="539" hidden="1">
      <c r="B539" s="116"/>
      <c r="G539" s="167"/>
      <c r="H539" s="118"/>
      <c r="I539" s="119"/>
      <c r="J539" s="119"/>
      <c r="K539" s="35"/>
    </row>
    <row r="540" hidden="1">
      <c r="B540" s="116"/>
      <c r="G540" s="167"/>
      <c r="H540" s="118"/>
      <c r="I540" s="119"/>
      <c r="J540" s="119"/>
      <c r="K540" s="35"/>
    </row>
    <row r="541" hidden="1">
      <c r="B541" s="116"/>
      <c r="G541" s="167"/>
      <c r="H541" s="118"/>
      <c r="I541" s="119"/>
      <c r="J541" s="119"/>
      <c r="K541" s="35"/>
    </row>
    <row r="542" hidden="1">
      <c r="B542" s="116"/>
      <c r="G542" s="167"/>
      <c r="H542" s="118"/>
      <c r="I542" s="119"/>
      <c r="J542" s="119"/>
      <c r="K542" s="35"/>
    </row>
    <row r="543" hidden="1">
      <c r="B543" s="116"/>
      <c r="G543" s="167"/>
      <c r="H543" s="118"/>
      <c r="I543" s="119"/>
      <c r="J543" s="119"/>
      <c r="K543" s="35"/>
    </row>
    <row r="544" hidden="1">
      <c r="B544" s="116"/>
      <c r="G544" s="167"/>
      <c r="H544" s="118"/>
      <c r="I544" s="119"/>
      <c r="J544" s="119"/>
      <c r="K544" s="35"/>
    </row>
    <row r="545" hidden="1">
      <c r="B545" s="116"/>
      <c r="G545" s="167"/>
      <c r="H545" s="118"/>
      <c r="I545" s="119"/>
      <c r="J545" s="119"/>
      <c r="K545" s="35"/>
    </row>
    <row r="546" hidden="1">
      <c r="B546" s="116"/>
      <c r="G546" s="167"/>
      <c r="H546" s="118"/>
      <c r="I546" s="119"/>
      <c r="J546" s="119"/>
      <c r="K546" s="35"/>
    </row>
    <row r="547" hidden="1">
      <c r="B547" s="116"/>
      <c r="G547" s="167"/>
      <c r="H547" s="118"/>
      <c r="I547" s="119"/>
      <c r="J547" s="119"/>
      <c r="K547" s="35"/>
    </row>
    <row r="548" hidden="1">
      <c r="B548" s="116"/>
      <c r="G548" s="167"/>
      <c r="H548" s="118"/>
      <c r="I548" s="119"/>
      <c r="J548" s="119"/>
      <c r="K548" s="35"/>
    </row>
    <row r="549" hidden="1">
      <c r="B549" s="116"/>
      <c r="G549" s="167"/>
      <c r="H549" s="118"/>
      <c r="I549" s="119"/>
      <c r="J549" s="119"/>
      <c r="K549" s="35"/>
    </row>
    <row r="550" hidden="1">
      <c r="B550" s="116"/>
      <c r="G550" s="167"/>
      <c r="H550" s="118"/>
      <c r="I550" s="119"/>
      <c r="J550" s="119"/>
      <c r="K550" s="35"/>
    </row>
    <row r="551" hidden="1">
      <c r="B551" s="116"/>
      <c r="G551" s="167"/>
      <c r="H551" s="118"/>
      <c r="I551" s="119"/>
      <c r="J551" s="119"/>
      <c r="K551" s="35"/>
    </row>
    <row r="552" hidden="1">
      <c r="B552" s="116"/>
      <c r="G552" s="167"/>
      <c r="H552" s="118"/>
      <c r="I552" s="119"/>
      <c r="J552" s="119"/>
      <c r="K552" s="35"/>
    </row>
    <row r="553" hidden="1">
      <c r="B553" s="116"/>
      <c r="G553" s="167"/>
      <c r="H553" s="118"/>
      <c r="I553" s="119"/>
      <c r="J553" s="119"/>
      <c r="K553" s="35"/>
    </row>
    <row r="554" hidden="1">
      <c r="B554" s="116"/>
      <c r="G554" s="167"/>
      <c r="H554" s="118"/>
      <c r="I554" s="119"/>
      <c r="J554" s="119"/>
      <c r="K554" s="35"/>
    </row>
    <row r="555" hidden="1">
      <c r="B555" s="116"/>
      <c r="G555" s="167"/>
      <c r="H555" s="118"/>
      <c r="I555" s="119"/>
      <c r="J555" s="119"/>
      <c r="K555" s="35"/>
    </row>
    <row r="556" hidden="1">
      <c r="B556" s="116"/>
      <c r="G556" s="167"/>
      <c r="H556" s="118"/>
      <c r="I556" s="119"/>
      <c r="J556" s="119"/>
      <c r="K556" s="35"/>
    </row>
    <row r="557" hidden="1">
      <c r="B557" s="116"/>
      <c r="G557" s="167"/>
      <c r="H557" s="118"/>
      <c r="I557" s="119"/>
      <c r="J557" s="119"/>
      <c r="K557" s="35"/>
    </row>
    <row r="558" hidden="1">
      <c r="B558" s="116"/>
      <c r="G558" s="167"/>
      <c r="H558" s="118"/>
      <c r="I558" s="119"/>
      <c r="J558" s="119"/>
      <c r="K558" s="35"/>
    </row>
    <row r="559" hidden="1">
      <c r="B559" s="116"/>
      <c r="G559" s="167"/>
      <c r="H559" s="118"/>
      <c r="I559" s="119"/>
      <c r="J559" s="119"/>
      <c r="K559" s="35"/>
    </row>
    <row r="560" hidden="1">
      <c r="B560" s="116"/>
      <c r="G560" s="167"/>
      <c r="H560" s="118"/>
      <c r="I560" s="119"/>
      <c r="J560" s="119"/>
      <c r="K560" s="35"/>
    </row>
    <row r="561" hidden="1">
      <c r="B561" s="116"/>
      <c r="G561" s="167"/>
      <c r="H561" s="118"/>
      <c r="I561" s="119"/>
      <c r="J561" s="119"/>
      <c r="K561" s="35"/>
    </row>
    <row r="562" hidden="1">
      <c r="B562" s="116"/>
      <c r="G562" s="167"/>
      <c r="H562" s="118"/>
      <c r="I562" s="119"/>
      <c r="J562" s="119"/>
      <c r="K562" s="35"/>
    </row>
    <row r="563" hidden="1">
      <c r="B563" s="116"/>
      <c r="G563" s="167"/>
      <c r="H563" s="118"/>
      <c r="I563" s="119"/>
      <c r="J563" s="119"/>
      <c r="K563" s="35"/>
    </row>
    <row r="564" hidden="1">
      <c r="B564" s="116"/>
      <c r="G564" s="167"/>
      <c r="H564" s="118"/>
      <c r="I564" s="119"/>
      <c r="J564" s="119"/>
      <c r="K564" s="35"/>
    </row>
    <row r="565" hidden="1">
      <c r="B565" s="116"/>
      <c r="G565" s="167"/>
      <c r="H565" s="118"/>
      <c r="I565" s="119"/>
      <c r="J565" s="119"/>
      <c r="K565" s="35"/>
    </row>
    <row r="566" hidden="1">
      <c r="B566" s="116"/>
      <c r="G566" s="167"/>
      <c r="H566" s="118"/>
      <c r="I566" s="119"/>
      <c r="J566" s="119"/>
      <c r="K566" s="35"/>
    </row>
    <row r="567" hidden="1">
      <c r="B567" s="116"/>
      <c r="G567" s="167"/>
      <c r="H567" s="118"/>
      <c r="I567" s="119"/>
      <c r="J567" s="119"/>
      <c r="K567" s="35"/>
    </row>
    <row r="568" hidden="1">
      <c r="B568" s="116"/>
      <c r="G568" s="167"/>
      <c r="H568" s="118"/>
      <c r="I568" s="119"/>
      <c r="J568" s="119"/>
      <c r="K568" s="35"/>
    </row>
    <row r="569" hidden="1">
      <c r="B569" s="116"/>
      <c r="G569" s="167"/>
      <c r="H569" s="118"/>
      <c r="I569" s="119"/>
      <c r="J569" s="119"/>
      <c r="K569" s="35"/>
    </row>
    <row r="570" hidden="1">
      <c r="B570" s="116"/>
      <c r="G570" s="167"/>
      <c r="H570" s="118"/>
      <c r="I570" s="119"/>
      <c r="J570" s="119"/>
      <c r="K570" s="35"/>
    </row>
    <row r="571" hidden="1">
      <c r="B571" s="116"/>
      <c r="G571" s="167"/>
      <c r="H571" s="118"/>
      <c r="I571" s="119"/>
      <c r="J571" s="119"/>
      <c r="K571" s="35"/>
    </row>
    <row r="572" hidden="1">
      <c r="B572" s="116"/>
      <c r="G572" s="167"/>
      <c r="H572" s="118"/>
      <c r="I572" s="119"/>
      <c r="J572" s="119"/>
      <c r="K572" s="35"/>
    </row>
    <row r="573" hidden="1">
      <c r="B573" s="116"/>
      <c r="G573" s="167"/>
      <c r="H573" s="118"/>
      <c r="I573" s="119"/>
      <c r="J573" s="119"/>
      <c r="K573" s="35"/>
    </row>
    <row r="574" hidden="1">
      <c r="B574" s="116"/>
      <c r="G574" s="167"/>
      <c r="H574" s="118"/>
      <c r="I574" s="119"/>
      <c r="J574" s="119"/>
      <c r="K574" s="35"/>
    </row>
    <row r="575" hidden="1">
      <c r="B575" s="116"/>
      <c r="G575" s="167"/>
      <c r="H575" s="118"/>
      <c r="I575" s="119"/>
      <c r="J575" s="119"/>
      <c r="K575" s="35"/>
    </row>
    <row r="576" hidden="1">
      <c r="B576" s="116"/>
      <c r="G576" s="167"/>
      <c r="H576" s="118"/>
      <c r="I576" s="119"/>
      <c r="J576" s="119"/>
      <c r="K576" s="35"/>
    </row>
    <row r="577" hidden="1">
      <c r="B577" s="116"/>
      <c r="G577" s="167"/>
      <c r="H577" s="118"/>
      <c r="I577" s="119"/>
      <c r="J577" s="119"/>
      <c r="K577" s="35"/>
    </row>
    <row r="578" hidden="1">
      <c r="B578" s="116"/>
      <c r="G578" s="167"/>
      <c r="H578" s="118"/>
      <c r="I578" s="119"/>
      <c r="J578" s="119"/>
      <c r="K578" s="35"/>
    </row>
    <row r="579" hidden="1">
      <c r="B579" s="116"/>
      <c r="G579" s="167"/>
      <c r="H579" s="118"/>
      <c r="I579" s="119"/>
      <c r="J579" s="119"/>
      <c r="K579" s="35"/>
    </row>
    <row r="580" hidden="1">
      <c r="B580" s="116"/>
      <c r="G580" s="167"/>
      <c r="H580" s="118"/>
      <c r="I580" s="119"/>
      <c r="J580" s="119"/>
      <c r="K580" s="35"/>
    </row>
    <row r="581" hidden="1">
      <c r="B581" s="116"/>
      <c r="G581" s="167"/>
      <c r="H581" s="118"/>
      <c r="I581" s="119"/>
      <c r="J581" s="119"/>
      <c r="K581" s="35"/>
    </row>
    <row r="582" hidden="1">
      <c r="B582" s="116"/>
      <c r="G582" s="167"/>
      <c r="H582" s="118"/>
      <c r="I582" s="119"/>
      <c r="J582" s="119"/>
      <c r="K582" s="35"/>
    </row>
    <row r="583" hidden="1">
      <c r="B583" s="116"/>
      <c r="G583" s="167"/>
      <c r="H583" s="118"/>
      <c r="I583" s="119"/>
      <c r="J583" s="119"/>
      <c r="K583" s="35"/>
    </row>
    <row r="584" hidden="1">
      <c r="B584" s="116"/>
      <c r="G584" s="167"/>
      <c r="H584" s="118"/>
      <c r="I584" s="119"/>
      <c r="J584" s="119"/>
      <c r="K584" s="35"/>
    </row>
    <row r="585" hidden="1">
      <c r="B585" s="116"/>
      <c r="G585" s="167"/>
      <c r="H585" s="118"/>
      <c r="I585" s="119"/>
      <c r="J585" s="119"/>
      <c r="K585" s="35"/>
    </row>
    <row r="586" hidden="1">
      <c r="B586" s="116"/>
      <c r="G586" s="167"/>
      <c r="H586" s="118"/>
      <c r="I586" s="119"/>
      <c r="J586" s="119"/>
      <c r="K586" s="35"/>
    </row>
    <row r="587" hidden="1">
      <c r="B587" s="116"/>
      <c r="G587" s="167"/>
      <c r="H587" s="118"/>
      <c r="I587" s="119"/>
      <c r="J587" s="119"/>
      <c r="K587" s="35"/>
    </row>
    <row r="588" hidden="1">
      <c r="B588" s="116"/>
      <c r="G588" s="167"/>
      <c r="H588" s="118"/>
      <c r="I588" s="119"/>
      <c r="J588" s="119"/>
      <c r="K588" s="35"/>
    </row>
    <row r="589" hidden="1">
      <c r="B589" s="116"/>
      <c r="G589" s="167"/>
      <c r="H589" s="118"/>
      <c r="I589" s="119"/>
      <c r="J589" s="119"/>
      <c r="K589" s="35"/>
    </row>
    <row r="590" hidden="1">
      <c r="B590" s="116"/>
      <c r="G590" s="167"/>
      <c r="H590" s="118"/>
      <c r="I590" s="119"/>
      <c r="J590" s="119"/>
      <c r="K590" s="35"/>
    </row>
    <row r="591" hidden="1">
      <c r="B591" s="116"/>
      <c r="G591" s="167"/>
      <c r="H591" s="118"/>
      <c r="I591" s="119"/>
      <c r="J591" s="119"/>
      <c r="K591" s="35"/>
    </row>
    <row r="592" hidden="1">
      <c r="B592" s="116"/>
      <c r="G592" s="167"/>
      <c r="H592" s="118"/>
      <c r="I592" s="119"/>
      <c r="J592" s="119"/>
      <c r="K592" s="35"/>
    </row>
    <row r="593" hidden="1">
      <c r="B593" s="116"/>
      <c r="G593" s="167"/>
      <c r="H593" s="118"/>
      <c r="I593" s="119"/>
      <c r="J593" s="119"/>
      <c r="K593" s="35"/>
    </row>
    <row r="594" hidden="1">
      <c r="B594" s="116"/>
      <c r="G594" s="167"/>
      <c r="H594" s="118"/>
      <c r="I594" s="119"/>
      <c r="J594" s="119"/>
      <c r="K594" s="35"/>
    </row>
    <row r="595" hidden="1">
      <c r="B595" s="116"/>
      <c r="G595" s="167"/>
      <c r="H595" s="118"/>
      <c r="I595" s="119"/>
      <c r="J595" s="119"/>
      <c r="K595" s="35"/>
    </row>
    <row r="596" hidden="1">
      <c r="B596" s="116"/>
      <c r="G596" s="167"/>
      <c r="H596" s="118"/>
      <c r="I596" s="119"/>
      <c r="J596" s="119"/>
      <c r="K596" s="35"/>
    </row>
    <row r="597" hidden="1">
      <c r="B597" s="116"/>
      <c r="G597" s="167"/>
      <c r="H597" s="118"/>
      <c r="I597" s="119"/>
      <c r="J597" s="119"/>
      <c r="K597" s="35"/>
    </row>
    <row r="598" hidden="1">
      <c r="B598" s="116"/>
      <c r="G598" s="167"/>
      <c r="H598" s="118"/>
      <c r="I598" s="119"/>
      <c r="J598" s="119"/>
      <c r="K598" s="35"/>
    </row>
    <row r="599" hidden="1">
      <c r="B599" s="116"/>
      <c r="G599" s="167"/>
      <c r="H599" s="118"/>
      <c r="I599" s="119"/>
      <c r="J599" s="119"/>
      <c r="K599" s="35"/>
    </row>
    <row r="600" hidden="1">
      <c r="B600" s="116"/>
      <c r="G600" s="167"/>
      <c r="H600" s="118"/>
      <c r="I600" s="119"/>
      <c r="J600" s="119"/>
      <c r="K600" s="35"/>
    </row>
    <row r="601" hidden="1">
      <c r="B601" s="116"/>
      <c r="G601" s="167"/>
      <c r="H601" s="118"/>
      <c r="I601" s="119"/>
      <c r="J601" s="119"/>
      <c r="K601" s="35"/>
    </row>
    <row r="602" hidden="1">
      <c r="B602" s="116"/>
      <c r="G602" s="167"/>
      <c r="H602" s="118"/>
      <c r="I602" s="119"/>
      <c r="J602" s="119"/>
      <c r="K602" s="35"/>
    </row>
    <row r="603" hidden="1">
      <c r="B603" s="116"/>
      <c r="G603" s="167"/>
      <c r="H603" s="118"/>
      <c r="I603" s="119"/>
      <c r="J603" s="119"/>
      <c r="K603" s="35"/>
    </row>
    <row r="604" hidden="1">
      <c r="B604" s="116"/>
      <c r="G604" s="167"/>
      <c r="H604" s="118"/>
      <c r="I604" s="119"/>
      <c r="J604" s="119"/>
      <c r="K604" s="35"/>
    </row>
    <row r="605" hidden="1">
      <c r="B605" s="116"/>
      <c r="G605" s="167"/>
      <c r="H605" s="118"/>
      <c r="I605" s="119"/>
      <c r="J605" s="119"/>
      <c r="K605" s="35"/>
    </row>
    <row r="606" hidden="1">
      <c r="B606" s="116"/>
      <c r="G606" s="167"/>
      <c r="H606" s="118"/>
      <c r="I606" s="119"/>
      <c r="J606" s="119"/>
      <c r="K606" s="35"/>
    </row>
    <row r="607" hidden="1">
      <c r="B607" s="116"/>
      <c r="G607" s="167"/>
      <c r="H607" s="118"/>
      <c r="I607" s="119"/>
      <c r="J607" s="119"/>
      <c r="K607" s="35"/>
    </row>
    <row r="608" hidden="1">
      <c r="B608" s="116"/>
      <c r="G608" s="167"/>
      <c r="H608" s="118"/>
      <c r="I608" s="119"/>
      <c r="J608" s="119"/>
      <c r="K608" s="35"/>
    </row>
    <row r="609" hidden="1">
      <c r="B609" s="116"/>
      <c r="G609" s="167"/>
      <c r="H609" s="118"/>
      <c r="I609" s="119"/>
      <c r="J609" s="119"/>
      <c r="K609" s="35"/>
    </row>
    <row r="610" hidden="1">
      <c r="B610" s="116"/>
      <c r="G610" s="167"/>
      <c r="H610" s="118"/>
      <c r="I610" s="119"/>
      <c r="J610" s="119"/>
      <c r="K610" s="35"/>
    </row>
    <row r="611" hidden="1">
      <c r="B611" s="116"/>
      <c r="G611" s="167"/>
      <c r="H611" s="118"/>
      <c r="I611" s="119"/>
      <c r="J611" s="119"/>
      <c r="K611" s="35"/>
    </row>
    <row r="612" hidden="1">
      <c r="B612" s="116"/>
      <c r="G612" s="167"/>
      <c r="H612" s="118"/>
      <c r="I612" s="119"/>
      <c r="J612" s="119"/>
      <c r="K612" s="35"/>
    </row>
    <row r="613" hidden="1">
      <c r="B613" s="116"/>
      <c r="G613" s="167"/>
      <c r="H613" s="118"/>
      <c r="I613" s="119"/>
      <c r="J613" s="119"/>
      <c r="K613" s="35"/>
    </row>
    <row r="614" hidden="1">
      <c r="B614" s="116"/>
      <c r="G614" s="167"/>
      <c r="H614" s="118"/>
      <c r="I614" s="119"/>
      <c r="J614" s="119"/>
      <c r="K614" s="35"/>
    </row>
    <row r="615" hidden="1">
      <c r="B615" s="116"/>
      <c r="G615" s="167"/>
      <c r="H615" s="118"/>
      <c r="I615" s="119"/>
      <c r="J615" s="119"/>
      <c r="K615" s="35"/>
    </row>
    <row r="616" hidden="1">
      <c r="B616" s="116"/>
      <c r="G616" s="167"/>
      <c r="H616" s="118"/>
      <c r="I616" s="119"/>
      <c r="J616" s="119"/>
      <c r="K616" s="35"/>
    </row>
    <row r="617" hidden="1">
      <c r="B617" s="116"/>
      <c r="G617" s="167"/>
      <c r="H617" s="118"/>
      <c r="I617" s="119"/>
      <c r="J617" s="119"/>
      <c r="K617" s="35"/>
    </row>
    <row r="618" hidden="1">
      <c r="B618" s="116"/>
      <c r="G618" s="167"/>
      <c r="H618" s="118"/>
      <c r="I618" s="119"/>
      <c r="J618" s="119"/>
      <c r="K618" s="35"/>
    </row>
    <row r="619" hidden="1">
      <c r="B619" s="116"/>
      <c r="G619" s="167"/>
      <c r="H619" s="118"/>
      <c r="I619" s="119"/>
      <c r="J619" s="119"/>
      <c r="K619" s="35"/>
    </row>
    <row r="620" hidden="1">
      <c r="B620" s="116"/>
      <c r="G620" s="167"/>
      <c r="H620" s="118"/>
      <c r="I620" s="119"/>
      <c r="J620" s="119"/>
      <c r="K620" s="35"/>
    </row>
    <row r="621" hidden="1">
      <c r="B621" s="116"/>
      <c r="G621" s="167"/>
      <c r="H621" s="118"/>
      <c r="I621" s="119"/>
      <c r="J621" s="119"/>
      <c r="K621" s="35"/>
    </row>
    <row r="622" hidden="1">
      <c r="B622" s="116"/>
      <c r="G622" s="167"/>
      <c r="H622" s="118"/>
      <c r="I622" s="119"/>
      <c r="J622" s="119"/>
      <c r="K622" s="35"/>
    </row>
    <row r="623" hidden="1">
      <c r="B623" s="116"/>
      <c r="G623" s="167"/>
      <c r="H623" s="118"/>
      <c r="I623" s="119"/>
      <c r="J623" s="119"/>
      <c r="K623" s="35"/>
    </row>
    <row r="624" hidden="1">
      <c r="B624" s="116"/>
      <c r="G624" s="167"/>
      <c r="H624" s="118"/>
      <c r="I624" s="119"/>
      <c r="J624" s="119"/>
      <c r="K624" s="35"/>
    </row>
    <row r="625" hidden="1">
      <c r="B625" s="116"/>
      <c r="G625" s="167"/>
      <c r="H625" s="118"/>
      <c r="I625" s="119"/>
      <c r="J625" s="119"/>
      <c r="K625" s="35"/>
    </row>
    <row r="626" hidden="1">
      <c r="B626" s="116"/>
      <c r="G626" s="167"/>
      <c r="H626" s="118"/>
      <c r="I626" s="119"/>
      <c r="J626" s="119"/>
      <c r="K626" s="35"/>
    </row>
    <row r="627" hidden="1">
      <c r="B627" s="116"/>
      <c r="G627" s="167"/>
      <c r="H627" s="118"/>
      <c r="I627" s="119"/>
      <c r="J627" s="119"/>
      <c r="K627" s="35"/>
    </row>
    <row r="628" hidden="1">
      <c r="B628" s="116"/>
      <c r="G628" s="167"/>
      <c r="H628" s="118"/>
      <c r="I628" s="119"/>
      <c r="J628" s="119"/>
      <c r="K628" s="35"/>
    </row>
    <row r="629" hidden="1">
      <c r="B629" s="116"/>
      <c r="G629" s="167"/>
      <c r="H629" s="118"/>
      <c r="I629" s="119"/>
      <c r="J629" s="119"/>
      <c r="K629" s="35"/>
    </row>
    <row r="630" hidden="1">
      <c r="B630" s="116"/>
      <c r="G630" s="167"/>
      <c r="H630" s="118"/>
      <c r="I630" s="119"/>
      <c r="J630" s="119"/>
      <c r="K630" s="35"/>
    </row>
    <row r="631" hidden="1">
      <c r="B631" s="116"/>
      <c r="G631" s="167"/>
      <c r="H631" s="118"/>
      <c r="I631" s="119"/>
      <c r="J631" s="119"/>
      <c r="K631" s="35"/>
    </row>
    <row r="632" hidden="1">
      <c r="B632" s="116"/>
      <c r="G632" s="167"/>
      <c r="H632" s="118"/>
      <c r="I632" s="119"/>
      <c r="J632" s="119"/>
      <c r="K632" s="35"/>
    </row>
    <row r="633" hidden="1">
      <c r="B633" s="116"/>
      <c r="G633" s="167"/>
      <c r="H633" s="118"/>
      <c r="I633" s="119"/>
      <c r="J633" s="119"/>
      <c r="K633" s="35"/>
    </row>
    <row r="634" hidden="1">
      <c r="B634" s="116"/>
      <c r="G634" s="167"/>
      <c r="H634" s="118"/>
      <c r="I634" s="119"/>
      <c r="J634" s="119"/>
      <c r="K634" s="35"/>
    </row>
    <row r="635" hidden="1">
      <c r="B635" s="116"/>
      <c r="G635" s="167"/>
      <c r="H635" s="118"/>
      <c r="I635" s="119"/>
      <c r="J635" s="119"/>
      <c r="K635" s="35"/>
    </row>
    <row r="636" hidden="1">
      <c r="B636" s="116"/>
      <c r="G636" s="167"/>
      <c r="H636" s="118"/>
      <c r="I636" s="119"/>
      <c r="J636" s="119"/>
      <c r="K636" s="35"/>
    </row>
    <row r="637" hidden="1">
      <c r="B637" s="116"/>
      <c r="G637" s="167"/>
      <c r="H637" s="118"/>
      <c r="I637" s="119"/>
      <c r="J637" s="119"/>
      <c r="K637" s="35"/>
    </row>
    <row r="638" hidden="1">
      <c r="B638" s="116"/>
      <c r="G638" s="167"/>
      <c r="H638" s="118"/>
      <c r="I638" s="119"/>
      <c r="J638" s="119"/>
      <c r="K638" s="35"/>
    </row>
    <row r="639" hidden="1">
      <c r="B639" s="116"/>
      <c r="G639" s="167"/>
      <c r="H639" s="118"/>
      <c r="I639" s="119"/>
      <c r="J639" s="119"/>
      <c r="K639" s="35"/>
    </row>
    <row r="640" hidden="1">
      <c r="B640" s="116"/>
      <c r="G640" s="167"/>
      <c r="H640" s="118"/>
      <c r="I640" s="119"/>
      <c r="J640" s="119"/>
      <c r="K640" s="35"/>
    </row>
    <row r="641" hidden="1">
      <c r="B641" s="116"/>
      <c r="G641" s="167"/>
      <c r="H641" s="118"/>
      <c r="I641" s="119"/>
      <c r="J641" s="119"/>
      <c r="K641" s="35"/>
    </row>
    <row r="642" hidden="1">
      <c r="B642" s="116"/>
      <c r="G642" s="167"/>
      <c r="H642" s="118"/>
      <c r="I642" s="119"/>
      <c r="J642" s="119"/>
      <c r="K642" s="35"/>
    </row>
    <row r="643" hidden="1">
      <c r="B643" s="116"/>
      <c r="G643" s="167"/>
      <c r="H643" s="118"/>
      <c r="I643" s="119"/>
      <c r="J643" s="119"/>
      <c r="K643" s="35"/>
    </row>
    <row r="644" hidden="1">
      <c r="B644" s="116"/>
      <c r="G644" s="167"/>
      <c r="H644" s="118"/>
      <c r="I644" s="119"/>
      <c r="J644" s="119"/>
      <c r="K644" s="35"/>
    </row>
    <row r="645" hidden="1">
      <c r="B645" s="116"/>
      <c r="G645" s="167"/>
      <c r="H645" s="118"/>
      <c r="I645" s="119"/>
      <c r="J645" s="119"/>
      <c r="K645" s="35"/>
    </row>
    <row r="646" hidden="1">
      <c r="B646" s="116"/>
      <c r="G646" s="167"/>
      <c r="H646" s="118"/>
      <c r="I646" s="119"/>
      <c r="J646" s="119"/>
      <c r="K646" s="35"/>
    </row>
    <row r="647" hidden="1">
      <c r="B647" s="116"/>
      <c r="G647" s="167"/>
      <c r="H647" s="118"/>
      <c r="I647" s="119"/>
      <c r="J647" s="119"/>
      <c r="K647" s="35"/>
    </row>
    <row r="648" hidden="1">
      <c r="B648" s="116"/>
      <c r="G648" s="167"/>
      <c r="H648" s="118"/>
      <c r="I648" s="119"/>
      <c r="J648" s="119"/>
      <c r="K648" s="35"/>
    </row>
    <row r="649" hidden="1">
      <c r="B649" s="116"/>
      <c r="G649" s="167"/>
      <c r="H649" s="118"/>
      <c r="I649" s="119"/>
      <c r="J649" s="119"/>
      <c r="K649" s="35"/>
    </row>
    <row r="650" hidden="1">
      <c r="B650" s="116"/>
      <c r="G650" s="167"/>
      <c r="H650" s="118"/>
      <c r="I650" s="119"/>
      <c r="J650" s="119"/>
      <c r="K650" s="35"/>
    </row>
    <row r="651" hidden="1">
      <c r="B651" s="116"/>
      <c r="G651" s="167"/>
      <c r="H651" s="118"/>
      <c r="I651" s="119"/>
      <c r="J651" s="119"/>
      <c r="K651" s="35"/>
    </row>
    <row r="652" hidden="1">
      <c r="B652" s="116"/>
      <c r="G652" s="167"/>
      <c r="H652" s="118"/>
      <c r="I652" s="119"/>
      <c r="J652" s="119"/>
      <c r="K652" s="35"/>
    </row>
    <row r="653" hidden="1">
      <c r="B653" s="116"/>
      <c r="G653" s="167"/>
      <c r="H653" s="118"/>
      <c r="I653" s="119"/>
      <c r="J653" s="119"/>
      <c r="K653" s="35"/>
    </row>
    <row r="654" hidden="1">
      <c r="B654" s="116"/>
      <c r="G654" s="167"/>
      <c r="H654" s="118"/>
      <c r="I654" s="119"/>
      <c r="J654" s="119"/>
      <c r="K654" s="35"/>
    </row>
    <row r="655" hidden="1">
      <c r="B655" s="116"/>
      <c r="G655" s="167"/>
      <c r="H655" s="118"/>
      <c r="I655" s="119"/>
      <c r="J655" s="119"/>
      <c r="K655" s="35"/>
    </row>
    <row r="656" hidden="1">
      <c r="B656" s="116"/>
      <c r="G656" s="167"/>
      <c r="H656" s="118"/>
      <c r="I656" s="119"/>
      <c r="J656" s="119"/>
      <c r="K656" s="35"/>
    </row>
    <row r="657" hidden="1">
      <c r="B657" s="116"/>
      <c r="G657" s="167"/>
      <c r="H657" s="118"/>
      <c r="I657" s="119"/>
      <c r="J657" s="119"/>
      <c r="K657" s="35"/>
    </row>
    <row r="658" hidden="1">
      <c r="B658" s="116"/>
      <c r="G658" s="167"/>
      <c r="H658" s="118"/>
      <c r="I658" s="119"/>
      <c r="J658" s="119"/>
      <c r="K658" s="35"/>
    </row>
    <row r="659" hidden="1">
      <c r="B659" s="116"/>
      <c r="G659" s="167"/>
      <c r="H659" s="118"/>
      <c r="I659" s="119"/>
      <c r="J659" s="119"/>
      <c r="K659" s="35"/>
    </row>
    <row r="660" hidden="1">
      <c r="B660" s="116"/>
      <c r="G660" s="167"/>
      <c r="H660" s="118"/>
      <c r="I660" s="119"/>
      <c r="J660" s="119"/>
      <c r="K660" s="35"/>
    </row>
    <row r="661" hidden="1">
      <c r="B661" s="116"/>
      <c r="G661" s="167"/>
      <c r="H661" s="118"/>
      <c r="I661" s="119"/>
      <c r="J661" s="119"/>
      <c r="K661" s="35"/>
    </row>
    <row r="662" hidden="1">
      <c r="B662" s="116"/>
      <c r="G662" s="167"/>
      <c r="H662" s="118"/>
      <c r="I662" s="119"/>
      <c r="J662" s="119"/>
      <c r="K662" s="35"/>
    </row>
    <row r="663" hidden="1">
      <c r="B663" s="116"/>
      <c r="G663" s="167"/>
      <c r="H663" s="118"/>
      <c r="I663" s="119"/>
      <c r="J663" s="119"/>
      <c r="K663" s="35"/>
    </row>
    <row r="664" hidden="1">
      <c r="B664" s="116"/>
      <c r="G664" s="167"/>
      <c r="H664" s="118"/>
      <c r="I664" s="119"/>
      <c r="J664" s="119"/>
      <c r="K664" s="35"/>
    </row>
    <row r="665" hidden="1">
      <c r="B665" s="116"/>
      <c r="G665" s="167"/>
      <c r="H665" s="118"/>
      <c r="I665" s="119"/>
      <c r="J665" s="119"/>
      <c r="K665" s="35"/>
    </row>
    <row r="666" hidden="1">
      <c r="B666" s="116"/>
      <c r="G666" s="167"/>
      <c r="H666" s="118"/>
      <c r="I666" s="119"/>
      <c r="J666" s="119"/>
      <c r="K666" s="35"/>
    </row>
    <row r="667" hidden="1">
      <c r="B667" s="116"/>
      <c r="G667" s="167"/>
      <c r="H667" s="118"/>
      <c r="I667" s="119"/>
      <c r="J667" s="119"/>
      <c r="K667" s="35"/>
    </row>
    <row r="668" hidden="1">
      <c r="B668" s="116"/>
      <c r="G668" s="167"/>
      <c r="H668" s="118"/>
      <c r="I668" s="119"/>
      <c r="J668" s="119"/>
      <c r="K668" s="35"/>
    </row>
    <row r="669" hidden="1">
      <c r="B669" s="116"/>
      <c r="G669" s="167"/>
      <c r="H669" s="118"/>
      <c r="I669" s="119"/>
      <c r="J669" s="119"/>
      <c r="K669" s="35"/>
    </row>
    <row r="670" hidden="1">
      <c r="B670" s="116"/>
      <c r="G670" s="167"/>
      <c r="H670" s="118"/>
      <c r="I670" s="119"/>
      <c r="J670" s="119"/>
      <c r="K670" s="35"/>
    </row>
    <row r="671" hidden="1">
      <c r="B671" s="116"/>
      <c r="G671" s="167"/>
      <c r="H671" s="118"/>
      <c r="I671" s="119"/>
      <c r="J671" s="119"/>
      <c r="K671" s="35"/>
    </row>
    <row r="672" hidden="1">
      <c r="B672" s="116"/>
      <c r="G672" s="167"/>
      <c r="H672" s="118"/>
      <c r="I672" s="119"/>
      <c r="J672" s="119"/>
      <c r="K672" s="35"/>
    </row>
    <row r="673" hidden="1">
      <c r="B673" s="116"/>
      <c r="G673" s="167"/>
      <c r="H673" s="118"/>
      <c r="I673" s="119"/>
      <c r="J673" s="119"/>
      <c r="K673" s="35"/>
    </row>
    <row r="674" hidden="1">
      <c r="B674" s="116"/>
      <c r="G674" s="167"/>
      <c r="H674" s="118"/>
      <c r="I674" s="119"/>
      <c r="J674" s="119"/>
      <c r="K674" s="35"/>
    </row>
    <row r="675" hidden="1">
      <c r="B675" s="116"/>
      <c r="G675" s="167"/>
      <c r="H675" s="118"/>
      <c r="I675" s="119"/>
      <c r="J675" s="119"/>
      <c r="K675" s="35"/>
    </row>
    <row r="676" hidden="1">
      <c r="B676" s="116"/>
      <c r="G676" s="167"/>
      <c r="H676" s="118"/>
      <c r="I676" s="119"/>
      <c r="J676" s="119"/>
      <c r="K676" s="35"/>
    </row>
    <row r="677" hidden="1">
      <c r="B677" s="116"/>
      <c r="G677" s="167"/>
      <c r="H677" s="118"/>
      <c r="I677" s="119"/>
      <c r="J677" s="119"/>
      <c r="K677" s="35"/>
    </row>
    <row r="678" hidden="1">
      <c r="B678" s="116"/>
      <c r="G678" s="167"/>
      <c r="H678" s="118"/>
      <c r="I678" s="119"/>
      <c r="J678" s="119"/>
      <c r="K678" s="35"/>
    </row>
    <row r="679" hidden="1">
      <c r="B679" s="116"/>
      <c r="G679" s="167"/>
      <c r="H679" s="118"/>
      <c r="I679" s="119"/>
      <c r="J679" s="119"/>
      <c r="K679" s="35"/>
    </row>
    <row r="680" hidden="1">
      <c r="B680" s="116"/>
      <c r="G680" s="167"/>
      <c r="H680" s="118"/>
      <c r="I680" s="119"/>
      <c r="J680" s="119"/>
      <c r="K680" s="35"/>
    </row>
    <row r="681" hidden="1">
      <c r="B681" s="116"/>
      <c r="G681" s="167"/>
      <c r="H681" s="118"/>
      <c r="I681" s="119"/>
      <c r="J681" s="119"/>
      <c r="K681" s="35"/>
    </row>
    <row r="682" hidden="1">
      <c r="B682" s="116"/>
      <c r="G682" s="167"/>
      <c r="H682" s="118"/>
      <c r="I682" s="119"/>
      <c r="J682" s="119"/>
      <c r="K682" s="35"/>
    </row>
    <row r="683" hidden="1">
      <c r="B683" s="116"/>
      <c r="G683" s="167"/>
      <c r="H683" s="118"/>
      <c r="I683" s="119"/>
      <c r="J683" s="119"/>
      <c r="K683" s="35"/>
    </row>
    <row r="684" hidden="1">
      <c r="B684" s="116"/>
      <c r="G684" s="167"/>
      <c r="H684" s="118"/>
      <c r="I684" s="119"/>
      <c r="J684" s="119"/>
      <c r="K684" s="35"/>
    </row>
    <row r="685" hidden="1">
      <c r="B685" s="116"/>
      <c r="G685" s="167"/>
      <c r="H685" s="118"/>
      <c r="I685" s="119"/>
      <c r="J685" s="119"/>
      <c r="K685" s="35"/>
    </row>
    <row r="686" hidden="1">
      <c r="B686" s="116"/>
      <c r="G686" s="167"/>
      <c r="H686" s="118"/>
      <c r="I686" s="119"/>
      <c r="J686" s="119"/>
      <c r="K686" s="35"/>
    </row>
    <row r="687" hidden="1">
      <c r="B687" s="116"/>
      <c r="G687" s="167"/>
      <c r="H687" s="118"/>
      <c r="I687" s="119"/>
      <c r="J687" s="119"/>
      <c r="K687" s="35"/>
    </row>
    <row r="688" hidden="1">
      <c r="B688" s="116"/>
      <c r="G688" s="167"/>
      <c r="H688" s="118"/>
      <c r="I688" s="119"/>
      <c r="J688" s="119"/>
      <c r="K688" s="35"/>
    </row>
    <row r="689" hidden="1">
      <c r="B689" s="116"/>
      <c r="G689" s="167"/>
      <c r="H689" s="118"/>
      <c r="I689" s="119"/>
      <c r="J689" s="119"/>
      <c r="K689" s="35"/>
    </row>
    <row r="690" hidden="1">
      <c r="B690" s="116"/>
      <c r="G690" s="167"/>
      <c r="H690" s="118"/>
      <c r="I690" s="119"/>
      <c r="J690" s="119"/>
      <c r="K690" s="35"/>
    </row>
    <row r="691" hidden="1">
      <c r="B691" s="116"/>
      <c r="G691" s="167"/>
      <c r="H691" s="118"/>
      <c r="I691" s="119"/>
      <c r="J691" s="119"/>
      <c r="K691" s="35"/>
    </row>
    <row r="692" hidden="1">
      <c r="B692" s="116"/>
      <c r="G692" s="167"/>
      <c r="H692" s="118"/>
      <c r="I692" s="119"/>
      <c r="J692" s="119"/>
      <c r="K692" s="35"/>
    </row>
    <row r="693" hidden="1">
      <c r="B693" s="116"/>
      <c r="G693" s="167"/>
      <c r="H693" s="118"/>
      <c r="I693" s="119"/>
      <c r="J693" s="119"/>
      <c r="K693" s="35"/>
    </row>
    <row r="694" hidden="1">
      <c r="B694" s="116"/>
      <c r="G694" s="167"/>
      <c r="H694" s="118"/>
      <c r="I694" s="119"/>
      <c r="J694" s="119"/>
      <c r="K694" s="35"/>
    </row>
    <row r="695" hidden="1">
      <c r="B695" s="116"/>
      <c r="G695" s="167"/>
      <c r="H695" s="118"/>
      <c r="I695" s="119"/>
      <c r="J695" s="119"/>
      <c r="K695" s="35"/>
    </row>
    <row r="696" hidden="1">
      <c r="B696" s="116"/>
      <c r="G696" s="167"/>
      <c r="H696" s="118"/>
      <c r="I696" s="119"/>
      <c r="J696" s="119"/>
      <c r="K696" s="35"/>
    </row>
    <row r="697" hidden="1">
      <c r="B697" s="116"/>
      <c r="G697" s="167"/>
      <c r="H697" s="118"/>
      <c r="I697" s="119"/>
      <c r="J697" s="119"/>
      <c r="K697" s="35"/>
    </row>
    <row r="698" hidden="1">
      <c r="B698" s="116"/>
      <c r="G698" s="167"/>
      <c r="H698" s="118"/>
      <c r="I698" s="119"/>
      <c r="J698" s="119"/>
      <c r="K698" s="35"/>
    </row>
    <row r="699" hidden="1">
      <c r="B699" s="116"/>
      <c r="G699" s="167"/>
      <c r="H699" s="118"/>
      <c r="I699" s="119"/>
      <c r="J699" s="119"/>
      <c r="K699" s="35"/>
    </row>
    <row r="700" hidden="1">
      <c r="B700" s="116"/>
      <c r="G700" s="167"/>
      <c r="H700" s="118"/>
      <c r="I700" s="119"/>
      <c r="J700" s="119"/>
      <c r="K700" s="35"/>
    </row>
    <row r="701" hidden="1">
      <c r="B701" s="116"/>
      <c r="G701" s="167"/>
      <c r="H701" s="118"/>
      <c r="I701" s="119"/>
      <c r="J701" s="119"/>
      <c r="K701" s="35"/>
    </row>
    <row r="702" hidden="1">
      <c r="B702" s="116"/>
      <c r="G702" s="167"/>
      <c r="H702" s="118"/>
      <c r="I702" s="119"/>
      <c r="J702" s="119"/>
      <c r="K702" s="35"/>
    </row>
    <row r="703" hidden="1">
      <c r="B703" s="116"/>
      <c r="G703" s="167"/>
      <c r="H703" s="118"/>
      <c r="I703" s="119"/>
      <c r="J703" s="119"/>
      <c r="K703" s="35"/>
    </row>
    <row r="704" hidden="1">
      <c r="B704" s="116"/>
      <c r="G704" s="167"/>
      <c r="H704" s="118"/>
      <c r="I704" s="119"/>
      <c r="J704" s="119"/>
      <c r="K704" s="35"/>
    </row>
    <row r="705" hidden="1">
      <c r="B705" s="116"/>
      <c r="G705" s="167"/>
      <c r="H705" s="118"/>
      <c r="I705" s="119"/>
      <c r="J705" s="119"/>
      <c r="K705" s="35"/>
    </row>
    <row r="706" hidden="1">
      <c r="B706" s="116"/>
      <c r="G706" s="167"/>
      <c r="H706" s="118"/>
      <c r="I706" s="119"/>
      <c r="J706" s="119"/>
      <c r="K706" s="35"/>
    </row>
    <row r="707" hidden="1">
      <c r="B707" s="116"/>
      <c r="G707" s="167"/>
      <c r="H707" s="118"/>
      <c r="I707" s="119"/>
      <c r="J707" s="119"/>
      <c r="K707" s="35"/>
    </row>
    <row r="708" hidden="1">
      <c r="B708" s="116"/>
      <c r="G708" s="167"/>
      <c r="H708" s="118"/>
      <c r="I708" s="119"/>
      <c r="J708" s="119"/>
      <c r="K708" s="35"/>
    </row>
    <row r="709" hidden="1">
      <c r="B709" s="116"/>
      <c r="G709" s="167"/>
      <c r="H709" s="118"/>
      <c r="I709" s="119"/>
      <c r="J709" s="119"/>
      <c r="K709" s="35"/>
    </row>
    <row r="710" hidden="1">
      <c r="B710" s="116"/>
      <c r="G710" s="167"/>
      <c r="H710" s="118"/>
      <c r="I710" s="119"/>
      <c r="J710" s="119"/>
      <c r="K710" s="35"/>
    </row>
    <row r="711" hidden="1">
      <c r="B711" s="116"/>
      <c r="G711" s="167"/>
      <c r="H711" s="118"/>
      <c r="I711" s="119"/>
      <c r="J711" s="119"/>
      <c r="K711" s="35"/>
    </row>
    <row r="712" hidden="1">
      <c r="B712" s="116"/>
      <c r="G712" s="167"/>
      <c r="H712" s="118"/>
      <c r="I712" s="119"/>
      <c r="J712" s="119"/>
      <c r="K712" s="35"/>
    </row>
    <row r="713" hidden="1">
      <c r="B713" s="116"/>
      <c r="G713" s="167"/>
      <c r="H713" s="118"/>
      <c r="I713" s="119"/>
      <c r="J713" s="119"/>
      <c r="K713" s="35"/>
    </row>
    <row r="714" hidden="1">
      <c r="B714" s="116"/>
      <c r="G714" s="167"/>
      <c r="H714" s="118"/>
      <c r="I714" s="119"/>
      <c r="J714" s="119"/>
      <c r="K714" s="35"/>
    </row>
    <row r="715" hidden="1">
      <c r="B715" s="116"/>
      <c r="G715" s="167"/>
      <c r="H715" s="118"/>
      <c r="I715" s="119"/>
      <c r="J715" s="119"/>
      <c r="K715" s="35"/>
    </row>
    <row r="716" hidden="1">
      <c r="B716" s="116"/>
      <c r="G716" s="167"/>
      <c r="H716" s="118"/>
      <c r="I716" s="119"/>
      <c r="J716" s="119"/>
      <c r="K716" s="35"/>
    </row>
    <row r="717" hidden="1">
      <c r="B717" s="116"/>
      <c r="G717" s="167"/>
      <c r="H717" s="118"/>
      <c r="I717" s="119"/>
      <c r="J717" s="119"/>
      <c r="K717" s="35"/>
    </row>
    <row r="718" hidden="1">
      <c r="B718" s="116"/>
      <c r="G718" s="167"/>
      <c r="H718" s="118"/>
      <c r="I718" s="119"/>
      <c r="J718" s="119"/>
      <c r="K718" s="35"/>
    </row>
    <row r="719" hidden="1">
      <c r="B719" s="116"/>
      <c r="G719" s="167"/>
      <c r="H719" s="118"/>
      <c r="I719" s="119"/>
      <c r="J719" s="119"/>
      <c r="K719" s="35"/>
    </row>
    <row r="720" hidden="1">
      <c r="B720" s="116"/>
      <c r="G720" s="167"/>
      <c r="H720" s="118"/>
      <c r="I720" s="119"/>
      <c r="J720" s="119"/>
      <c r="K720" s="35"/>
    </row>
    <row r="721" hidden="1">
      <c r="B721" s="116"/>
      <c r="G721" s="167"/>
      <c r="H721" s="118"/>
      <c r="I721" s="119"/>
      <c r="J721" s="119"/>
      <c r="K721" s="35"/>
    </row>
    <row r="722" hidden="1">
      <c r="B722" s="116"/>
      <c r="G722" s="167"/>
      <c r="H722" s="118"/>
      <c r="I722" s="119"/>
      <c r="J722" s="119"/>
      <c r="K722" s="35"/>
    </row>
    <row r="723" hidden="1">
      <c r="B723" s="116"/>
      <c r="G723" s="167"/>
      <c r="H723" s="118"/>
      <c r="I723" s="119"/>
      <c r="J723" s="119"/>
      <c r="K723" s="35"/>
    </row>
    <row r="724" hidden="1">
      <c r="B724" s="116"/>
      <c r="G724" s="167"/>
      <c r="H724" s="118"/>
      <c r="I724" s="119"/>
      <c r="J724" s="119"/>
      <c r="K724" s="35"/>
    </row>
    <row r="725" hidden="1">
      <c r="B725" s="116"/>
      <c r="G725" s="167"/>
      <c r="H725" s="118"/>
      <c r="I725" s="119"/>
      <c r="J725" s="119"/>
      <c r="K725" s="35"/>
    </row>
    <row r="726" hidden="1">
      <c r="B726" s="116"/>
      <c r="G726" s="167"/>
      <c r="H726" s="118"/>
      <c r="I726" s="119"/>
      <c r="J726" s="119"/>
      <c r="K726" s="35"/>
    </row>
    <row r="727" hidden="1">
      <c r="B727" s="116"/>
      <c r="G727" s="167"/>
      <c r="H727" s="118"/>
      <c r="I727" s="119"/>
      <c r="J727" s="119"/>
      <c r="K727" s="35"/>
    </row>
    <row r="728" hidden="1">
      <c r="B728" s="116"/>
      <c r="G728" s="167"/>
      <c r="H728" s="118"/>
      <c r="I728" s="119"/>
      <c r="J728" s="119"/>
      <c r="K728" s="35"/>
    </row>
    <row r="729" hidden="1">
      <c r="B729" s="116"/>
      <c r="G729" s="167"/>
      <c r="H729" s="118"/>
      <c r="I729" s="119"/>
      <c r="J729" s="119"/>
      <c r="K729" s="35"/>
    </row>
    <row r="730" hidden="1">
      <c r="B730" s="116"/>
      <c r="G730" s="167"/>
      <c r="H730" s="118"/>
      <c r="I730" s="119"/>
      <c r="J730" s="119"/>
      <c r="K730" s="35"/>
    </row>
    <row r="731" hidden="1">
      <c r="B731" s="116"/>
      <c r="G731" s="167"/>
      <c r="H731" s="118"/>
      <c r="I731" s="119"/>
      <c r="J731" s="119"/>
      <c r="K731" s="35"/>
    </row>
    <row r="732" hidden="1">
      <c r="B732" s="116"/>
      <c r="G732" s="167"/>
      <c r="H732" s="118"/>
      <c r="I732" s="119"/>
      <c r="J732" s="119"/>
      <c r="K732" s="35"/>
    </row>
    <row r="733" hidden="1">
      <c r="B733" s="116"/>
      <c r="G733" s="167"/>
      <c r="H733" s="118"/>
      <c r="I733" s="119"/>
      <c r="J733" s="119"/>
      <c r="K733" s="35"/>
    </row>
    <row r="734" hidden="1">
      <c r="B734" s="116"/>
      <c r="G734" s="167"/>
      <c r="H734" s="118"/>
      <c r="I734" s="119"/>
      <c r="J734" s="119"/>
      <c r="K734" s="35"/>
    </row>
    <row r="735" hidden="1">
      <c r="B735" s="116"/>
      <c r="G735" s="167"/>
      <c r="H735" s="118"/>
      <c r="I735" s="119"/>
      <c r="J735" s="119"/>
      <c r="K735" s="35"/>
    </row>
    <row r="736" hidden="1">
      <c r="B736" s="116"/>
      <c r="G736" s="167"/>
      <c r="H736" s="118"/>
      <c r="I736" s="119"/>
      <c r="J736" s="119"/>
      <c r="K736" s="35"/>
    </row>
    <row r="737" hidden="1">
      <c r="B737" s="116"/>
      <c r="G737" s="167"/>
      <c r="H737" s="118"/>
      <c r="I737" s="119"/>
      <c r="J737" s="119"/>
      <c r="K737" s="35"/>
    </row>
    <row r="738" hidden="1">
      <c r="B738" s="116"/>
      <c r="G738" s="167"/>
      <c r="H738" s="118"/>
      <c r="I738" s="119"/>
      <c r="J738" s="119"/>
      <c r="K738" s="35"/>
    </row>
    <row r="739" hidden="1">
      <c r="B739" s="116"/>
      <c r="G739" s="167"/>
      <c r="H739" s="118"/>
      <c r="I739" s="119"/>
      <c r="J739" s="119"/>
      <c r="K739" s="35"/>
    </row>
    <row r="740" hidden="1">
      <c r="B740" s="116"/>
      <c r="G740" s="167"/>
      <c r="H740" s="118"/>
      <c r="I740" s="119"/>
      <c r="J740" s="119"/>
      <c r="K740" s="35"/>
    </row>
    <row r="741" hidden="1">
      <c r="B741" s="116"/>
      <c r="G741" s="167"/>
      <c r="H741" s="118"/>
      <c r="I741" s="119"/>
      <c r="J741" s="119"/>
      <c r="K741" s="35"/>
    </row>
    <row r="742" hidden="1">
      <c r="B742" s="116"/>
      <c r="G742" s="167"/>
      <c r="H742" s="118"/>
      <c r="I742" s="119"/>
      <c r="J742" s="119"/>
      <c r="K742" s="35"/>
    </row>
    <row r="743" hidden="1">
      <c r="B743" s="116"/>
      <c r="G743" s="167"/>
      <c r="H743" s="118"/>
      <c r="I743" s="119"/>
      <c r="J743" s="119"/>
      <c r="K743" s="35"/>
    </row>
    <row r="744" hidden="1">
      <c r="B744" s="116"/>
      <c r="G744" s="167"/>
      <c r="H744" s="118"/>
      <c r="I744" s="119"/>
      <c r="J744" s="119"/>
      <c r="K744" s="35"/>
    </row>
    <row r="745" hidden="1">
      <c r="B745" s="116"/>
      <c r="G745" s="167"/>
      <c r="H745" s="118"/>
      <c r="I745" s="119"/>
      <c r="J745" s="119"/>
      <c r="K745" s="35"/>
    </row>
    <row r="746" hidden="1">
      <c r="B746" s="116"/>
      <c r="G746" s="167"/>
      <c r="H746" s="118"/>
      <c r="I746" s="119"/>
      <c r="J746" s="119"/>
      <c r="K746" s="35"/>
    </row>
    <row r="747" hidden="1">
      <c r="B747" s="116"/>
      <c r="G747" s="167"/>
      <c r="H747" s="118"/>
      <c r="I747" s="119"/>
      <c r="J747" s="119"/>
      <c r="K747" s="35"/>
    </row>
    <row r="748" hidden="1">
      <c r="B748" s="116"/>
      <c r="G748" s="167"/>
      <c r="H748" s="118"/>
      <c r="I748" s="119"/>
      <c r="J748" s="119"/>
      <c r="K748" s="35"/>
    </row>
    <row r="749" hidden="1">
      <c r="B749" s="116"/>
      <c r="G749" s="167"/>
      <c r="H749" s="118"/>
      <c r="I749" s="119"/>
      <c r="J749" s="119"/>
      <c r="K749" s="35"/>
    </row>
    <row r="750" hidden="1">
      <c r="B750" s="116"/>
      <c r="G750" s="167"/>
      <c r="H750" s="118"/>
      <c r="I750" s="119"/>
      <c r="J750" s="119"/>
      <c r="K750" s="35"/>
    </row>
    <row r="751" hidden="1">
      <c r="B751" s="116"/>
      <c r="G751" s="167"/>
      <c r="H751" s="118"/>
      <c r="I751" s="119"/>
      <c r="J751" s="119"/>
      <c r="K751" s="35"/>
    </row>
    <row r="752" hidden="1">
      <c r="B752" s="116"/>
      <c r="G752" s="167"/>
      <c r="H752" s="118"/>
      <c r="I752" s="119"/>
      <c r="J752" s="119"/>
      <c r="K752" s="35"/>
    </row>
    <row r="753" hidden="1">
      <c r="B753" s="116"/>
      <c r="G753" s="167"/>
      <c r="H753" s="118"/>
      <c r="I753" s="119"/>
      <c r="J753" s="119"/>
      <c r="K753" s="35"/>
    </row>
    <row r="754" hidden="1">
      <c r="B754" s="116"/>
      <c r="G754" s="167"/>
      <c r="H754" s="118"/>
      <c r="I754" s="119"/>
      <c r="J754" s="119"/>
      <c r="K754" s="35"/>
    </row>
    <row r="755" hidden="1">
      <c r="B755" s="116"/>
      <c r="G755" s="167"/>
      <c r="H755" s="118"/>
      <c r="I755" s="119"/>
      <c r="J755" s="119"/>
      <c r="K755" s="35"/>
    </row>
    <row r="756" hidden="1">
      <c r="B756" s="116"/>
      <c r="G756" s="167"/>
      <c r="H756" s="118"/>
      <c r="I756" s="119"/>
      <c r="J756" s="119"/>
      <c r="K756" s="35"/>
    </row>
    <row r="757" hidden="1">
      <c r="B757" s="116"/>
      <c r="G757" s="167"/>
      <c r="H757" s="118"/>
      <c r="I757" s="119"/>
      <c r="J757" s="119"/>
      <c r="K757" s="35"/>
    </row>
    <row r="758" hidden="1">
      <c r="B758" s="116"/>
      <c r="G758" s="167"/>
      <c r="H758" s="118"/>
      <c r="I758" s="119"/>
      <c r="J758" s="119"/>
      <c r="K758" s="35"/>
    </row>
    <row r="759" hidden="1">
      <c r="B759" s="116"/>
      <c r="G759" s="167"/>
      <c r="H759" s="118"/>
      <c r="I759" s="119"/>
      <c r="J759" s="119"/>
      <c r="K759" s="35"/>
    </row>
    <row r="760" hidden="1">
      <c r="B760" s="116"/>
      <c r="G760" s="167"/>
      <c r="H760" s="118"/>
      <c r="I760" s="119"/>
      <c r="J760" s="119"/>
      <c r="K760" s="35"/>
    </row>
    <row r="761" hidden="1">
      <c r="B761" s="116"/>
      <c r="G761" s="167"/>
      <c r="H761" s="118"/>
      <c r="I761" s="119"/>
      <c r="J761" s="119"/>
      <c r="K761" s="35"/>
    </row>
    <row r="762" hidden="1">
      <c r="B762" s="116"/>
      <c r="G762" s="167"/>
      <c r="H762" s="118"/>
      <c r="I762" s="119"/>
      <c r="J762" s="119"/>
      <c r="K762" s="35"/>
    </row>
    <row r="763" hidden="1">
      <c r="B763" s="116"/>
      <c r="G763" s="167"/>
      <c r="H763" s="118"/>
      <c r="I763" s="119"/>
      <c r="J763" s="119"/>
      <c r="K763" s="35"/>
    </row>
    <row r="764" hidden="1">
      <c r="B764" s="116"/>
      <c r="G764" s="167"/>
      <c r="H764" s="118"/>
      <c r="I764" s="119"/>
      <c r="J764" s="119"/>
      <c r="K764" s="35"/>
    </row>
    <row r="765" hidden="1">
      <c r="B765" s="116"/>
      <c r="G765" s="167"/>
      <c r="H765" s="118"/>
      <c r="I765" s="119"/>
      <c r="J765" s="119"/>
      <c r="K765" s="35"/>
    </row>
    <row r="766" hidden="1">
      <c r="B766" s="116"/>
      <c r="G766" s="167"/>
      <c r="H766" s="118"/>
      <c r="I766" s="119"/>
      <c r="J766" s="119"/>
      <c r="K766" s="35"/>
    </row>
    <row r="767" hidden="1">
      <c r="B767" s="116"/>
      <c r="G767" s="167"/>
      <c r="H767" s="118"/>
      <c r="I767" s="119"/>
      <c r="J767" s="119"/>
      <c r="K767" s="35"/>
    </row>
    <row r="768" hidden="1">
      <c r="B768" s="116"/>
      <c r="G768" s="167"/>
      <c r="H768" s="118"/>
      <c r="I768" s="119"/>
      <c r="J768" s="119"/>
      <c r="K768" s="35"/>
    </row>
    <row r="769" hidden="1">
      <c r="B769" s="116"/>
      <c r="G769" s="167"/>
      <c r="H769" s="118"/>
      <c r="I769" s="119"/>
      <c r="J769" s="119"/>
      <c r="K769" s="35"/>
    </row>
    <row r="770" hidden="1">
      <c r="B770" s="116"/>
      <c r="G770" s="167"/>
      <c r="H770" s="118"/>
      <c r="I770" s="119"/>
      <c r="J770" s="119"/>
      <c r="K770" s="35"/>
    </row>
    <row r="771" hidden="1">
      <c r="B771" s="116"/>
      <c r="G771" s="167"/>
      <c r="H771" s="118"/>
      <c r="I771" s="119"/>
      <c r="J771" s="119"/>
      <c r="K771" s="35"/>
    </row>
    <row r="772" hidden="1">
      <c r="B772" s="116"/>
      <c r="G772" s="167"/>
      <c r="H772" s="118"/>
      <c r="I772" s="119"/>
      <c r="J772" s="119"/>
      <c r="K772" s="35"/>
    </row>
    <row r="773" hidden="1">
      <c r="B773" s="116"/>
      <c r="G773" s="167"/>
      <c r="H773" s="118"/>
      <c r="I773" s="119"/>
      <c r="J773" s="119"/>
      <c r="K773" s="35"/>
    </row>
    <row r="774" hidden="1">
      <c r="B774" s="116"/>
      <c r="G774" s="167"/>
      <c r="H774" s="118"/>
      <c r="I774" s="119"/>
      <c r="J774" s="119"/>
      <c r="K774" s="35"/>
    </row>
    <row r="775" hidden="1">
      <c r="B775" s="116"/>
      <c r="G775" s="167"/>
      <c r="H775" s="118"/>
      <c r="I775" s="119"/>
      <c r="J775" s="119"/>
      <c r="K775" s="35"/>
    </row>
    <row r="776" hidden="1">
      <c r="B776" s="116"/>
      <c r="G776" s="167"/>
      <c r="H776" s="118"/>
      <c r="I776" s="119"/>
      <c r="J776" s="119"/>
      <c r="K776" s="35"/>
    </row>
    <row r="777" hidden="1">
      <c r="B777" s="116"/>
      <c r="G777" s="167"/>
      <c r="H777" s="118"/>
      <c r="I777" s="119"/>
      <c r="J777" s="119"/>
      <c r="K777" s="35"/>
    </row>
    <row r="778" hidden="1">
      <c r="B778" s="116"/>
      <c r="G778" s="167"/>
      <c r="H778" s="118"/>
      <c r="I778" s="119"/>
      <c r="J778" s="119"/>
      <c r="K778" s="35"/>
    </row>
    <row r="779" hidden="1">
      <c r="B779" s="116"/>
      <c r="G779" s="167"/>
      <c r="H779" s="118"/>
      <c r="I779" s="119"/>
      <c r="J779" s="119"/>
      <c r="K779" s="35"/>
    </row>
    <row r="780" hidden="1">
      <c r="B780" s="116"/>
      <c r="G780" s="167"/>
      <c r="H780" s="118"/>
      <c r="I780" s="119"/>
      <c r="J780" s="119"/>
      <c r="K780" s="35"/>
    </row>
    <row r="781" hidden="1">
      <c r="B781" s="116"/>
      <c r="G781" s="167"/>
      <c r="H781" s="118"/>
      <c r="I781" s="119"/>
      <c r="J781" s="119"/>
      <c r="K781" s="35"/>
    </row>
    <row r="782" hidden="1">
      <c r="B782" s="116"/>
      <c r="G782" s="167"/>
      <c r="H782" s="118"/>
      <c r="I782" s="119"/>
      <c r="J782" s="119"/>
      <c r="K782" s="35"/>
    </row>
    <row r="783" hidden="1">
      <c r="B783" s="116"/>
      <c r="G783" s="167"/>
      <c r="H783" s="118"/>
      <c r="I783" s="119"/>
      <c r="J783" s="119"/>
      <c r="K783" s="35"/>
    </row>
    <row r="784" hidden="1">
      <c r="B784" s="116"/>
      <c r="G784" s="167"/>
      <c r="H784" s="118"/>
      <c r="I784" s="119"/>
      <c r="J784" s="119"/>
      <c r="K784" s="35"/>
    </row>
    <row r="785" hidden="1">
      <c r="B785" s="116"/>
      <c r="G785" s="167"/>
      <c r="H785" s="118"/>
      <c r="I785" s="119"/>
      <c r="J785" s="119"/>
      <c r="K785" s="35"/>
    </row>
    <row r="786" hidden="1">
      <c r="B786" s="116"/>
      <c r="G786" s="167"/>
      <c r="H786" s="118"/>
      <c r="I786" s="119"/>
      <c r="J786" s="119"/>
      <c r="K786" s="35"/>
    </row>
    <row r="787" hidden="1">
      <c r="B787" s="116"/>
      <c r="G787" s="167"/>
      <c r="H787" s="118"/>
      <c r="I787" s="119"/>
      <c r="J787" s="119"/>
      <c r="K787" s="35"/>
    </row>
    <row r="788" hidden="1">
      <c r="B788" s="116"/>
      <c r="G788" s="167"/>
      <c r="H788" s="118"/>
      <c r="I788" s="119"/>
      <c r="J788" s="119"/>
      <c r="K788" s="35"/>
    </row>
    <row r="789" hidden="1">
      <c r="B789" s="116"/>
      <c r="G789" s="167"/>
      <c r="H789" s="118"/>
      <c r="I789" s="119"/>
      <c r="J789" s="119"/>
      <c r="K789" s="35"/>
    </row>
    <row r="790" hidden="1">
      <c r="B790" s="116"/>
      <c r="G790" s="167"/>
      <c r="H790" s="118"/>
      <c r="I790" s="119"/>
      <c r="J790" s="119"/>
      <c r="K790" s="35"/>
    </row>
    <row r="791" hidden="1">
      <c r="B791" s="116"/>
      <c r="G791" s="167"/>
      <c r="H791" s="118"/>
      <c r="I791" s="119"/>
      <c r="J791" s="119"/>
      <c r="K791" s="35"/>
    </row>
    <row r="792" hidden="1">
      <c r="B792" s="116"/>
      <c r="G792" s="167"/>
      <c r="H792" s="118"/>
      <c r="I792" s="119"/>
      <c r="J792" s="119"/>
      <c r="K792" s="35"/>
    </row>
    <row r="793" hidden="1">
      <c r="B793" s="116"/>
      <c r="G793" s="167"/>
      <c r="H793" s="118"/>
      <c r="I793" s="119"/>
      <c r="J793" s="119"/>
      <c r="K793" s="35"/>
    </row>
    <row r="794" hidden="1">
      <c r="B794" s="116"/>
      <c r="G794" s="167"/>
      <c r="H794" s="118"/>
      <c r="I794" s="119"/>
      <c r="J794" s="119"/>
      <c r="K794" s="35"/>
    </row>
    <row r="795" hidden="1">
      <c r="B795" s="116"/>
      <c r="G795" s="167"/>
      <c r="H795" s="118"/>
      <c r="I795" s="119"/>
      <c r="J795" s="119"/>
      <c r="K795" s="35"/>
    </row>
    <row r="796" hidden="1">
      <c r="B796" s="116"/>
      <c r="G796" s="167"/>
      <c r="H796" s="118"/>
      <c r="I796" s="119"/>
      <c r="J796" s="119"/>
      <c r="K796" s="35"/>
    </row>
    <row r="797" hidden="1">
      <c r="B797" s="116"/>
      <c r="G797" s="167"/>
      <c r="H797" s="118"/>
      <c r="I797" s="119"/>
      <c r="J797" s="119"/>
      <c r="K797" s="35"/>
    </row>
    <row r="798" hidden="1">
      <c r="B798" s="116"/>
      <c r="G798" s="167"/>
      <c r="H798" s="118"/>
      <c r="I798" s="119"/>
      <c r="J798" s="119"/>
      <c r="K798" s="35"/>
    </row>
    <row r="799" hidden="1">
      <c r="B799" s="116"/>
      <c r="G799" s="167"/>
      <c r="H799" s="118"/>
      <c r="I799" s="119"/>
      <c r="J799" s="119"/>
      <c r="K799" s="35"/>
    </row>
    <row r="800" hidden="1">
      <c r="B800" s="116"/>
      <c r="G800" s="167"/>
      <c r="H800" s="118"/>
      <c r="I800" s="119"/>
      <c r="J800" s="119"/>
      <c r="K800" s="35"/>
    </row>
    <row r="801" hidden="1">
      <c r="B801" s="116"/>
      <c r="G801" s="167"/>
      <c r="H801" s="118"/>
      <c r="I801" s="119"/>
      <c r="J801" s="119"/>
      <c r="K801" s="35"/>
    </row>
    <row r="802" hidden="1">
      <c r="B802" s="116"/>
      <c r="G802" s="167"/>
      <c r="H802" s="118"/>
      <c r="I802" s="119"/>
      <c r="J802" s="119"/>
      <c r="K802" s="35"/>
    </row>
    <row r="803" hidden="1">
      <c r="B803" s="116"/>
      <c r="G803" s="167"/>
      <c r="H803" s="118"/>
      <c r="I803" s="119"/>
      <c r="J803" s="119"/>
      <c r="K803" s="35"/>
    </row>
    <row r="804" hidden="1">
      <c r="B804" s="116"/>
      <c r="G804" s="167"/>
      <c r="H804" s="118"/>
      <c r="I804" s="119"/>
      <c r="J804" s="119"/>
      <c r="K804" s="35"/>
    </row>
    <row r="805" hidden="1">
      <c r="B805" s="116"/>
      <c r="G805" s="167"/>
      <c r="H805" s="118"/>
      <c r="I805" s="119"/>
      <c r="J805" s="119"/>
      <c r="K805" s="35"/>
    </row>
    <row r="806" hidden="1">
      <c r="B806" s="116"/>
      <c r="G806" s="167"/>
      <c r="H806" s="118"/>
      <c r="I806" s="119"/>
      <c r="J806" s="119"/>
      <c r="K806" s="35"/>
    </row>
    <row r="807" hidden="1">
      <c r="B807" s="116"/>
      <c r="G807" s="167"/>
      <c r="H807" s="118"/>
      <c r="I807" s="119"/>
      <c r="J807" s="119"/>
      <c r="K807" s="35"/>
    </row>
    <row r="808" hidden="1">
      <c r="B808" s="116"/>
      <c r="G808" s="167"/>
      <c r="H808" s="118"/>
      <c r="I808" s="119"/>
      <c r="J808" s="119"/>
      <c r="K808" s="35"/>
    </row>
    <row r="809" hidden="1">
      <c r="B809" s="116"/>
      <c r="G809" s="167"/>
      <c r="H809" s="118"/>
      <c r="I809" s="119"/>
      <c r="J809" s="119"/>
      <c r="K809" s="35"/>
    </row>
    <row r="810" hidden="1">
      <c r="B810" s="116"/>
      <c r="G810" s="167"/>
      <c r="H810" s="118"/>
      <c r="I810" s="119"/>
      <c r="J810" s="119"/>
      <c r="K810" s="35"/>
    </row>
    <row r="811" hidden="1">
      <c r="B811" s="116"/>
      <c r="G811" s="167"/>
      <c r="H811" s="118"/>
      <c r="I811" s="119"/>
      <c r="J811" s="119"/>
      <c r="K811" s="35"/>
    </row>
    <row r="812" hidden="1">
      <c r="B812" s="116"/>
      <c r="G812" s="167"/>
      <c r="H812" s="118"/>
      <c r="I812" s="119"/>
      <c r="J812" s="119"/>
      <c r="K812" s="35"/>
    </row>
    <row r="813" hidden="1">
      <c r="B813" s="116"/>
      <c r="G813" s="167"/>
      <c r="H813" s="118"/>
      <c r="I813" s="119"/>
      <c r="J813" s="119"/>
      <c r="K813" s="35"/>
    </row>
    <row r="814" hidden="1">
      <c r="B814" s="116"/>
      <c r="G814" s="167"/>
      <c r="H814" s="118"/>
      <c r="I814" s="119"/>
      <c r="J814" s="119"/>
      <c r="K814" s="35"/>
    </row>
    <row r="815" hidden="1">
      <c r="B815" s="116"/>
      <c r="G815" s="167"/>
      <c r="H815" s="118"/>
      <c r="I815" s="119"/>
      <c r="J815" s="119"/>
      <c r="K815" s="35"/>
    </row>
    <row r="816" hidden="1">
      <c r="B816" s="116"/>
      <c r="G816" s="167"/>
      <c r="H816" s="118"/>
      <c r="I816" s="119"/>
      <c r="J816" s="119"/>
      <c r="K816" s="35"/>
    </row>
    <row r="817" hidden="1">
      <c r="B817" s="116"/>
      <c r="G817" s="167"/>
      <c r="H817" s="118"/>
      <c r="I817" s="119"/>
      <c r="J817" s="119"/>
      <c r="K817" s="35"/>
    </row>
    <row r="818" hidden="1">
      <c r="B818" s="116"/>
      <c r="G818" s="167"/>
      <c r="H818" s="118"/>
      <c r="I818" s="119"/>
      <c r="J818" s="119"/>
      <c r="K818" s="35"/>
    </row>
    <row r="819" hidden="1">
      <c r="B819" s="116"/>
      <c r="G819" s="167"/>
      <c r="H819" s="118"/>
      <c r="I819" s="119"/>
      <c r="J819" s="119"/>
      <c r="K819" s="35"/>
    </row>
    <row r="820" hidden="1">
      <c r="B820" s="116"/>
      <c r="G820" s="167"/>
      <c r="H820" s="118"/>
      <c r="I820" s="119"/>
      <c r="J820" s="119"/>
      <c r="K820" s="35"/>
    </row>
    <row r="821" hidden="1">
      <c r="B821" s="116"/>
      <c r="G821" s="167"/>
      <c r="H821" s="118"/>
      <c r="I821" s="119"/>
      <c r="J821" s="119"/>
      <c r="K821" s="35"/>
    </row>
    <row r="822" hidden="1">
      <c r="B822" s="116"/>
      <c r="G822" s="167"/>
      <c r="H822" s="118"/>
      <c r="I822" s="119"/>
      <c r="J822" s="119"/>
      <c r="K822" s="35"/>
    </row>
    <row r="823" hidden="1">
      <c r="B823" s="116"/>
      <c r="G823" s="167"/>
      <c r="H823" s="118"/>
      <c r="I823" s="119"/>
      <c r="J823" s="119"/>
      <c r="K823" s="35"/>
    </row>
    <row r="824" hidden="1">
      <c r="B824" s="116"/>
      <c r="G824" s="167"/>
      <c r="H824" s="118"/>
      <c r="I824" s="119"/>
      <c r="J824" s="119"/>
      <c r="K824" s="35"/>
    </row>
    <row r="825" hidden="1">
      <c r="B825" s="116"/>
      <c r="G825" s="167"/>
      <c r="H825" s="118"/>
      <c r="I825" s="119"/>
      <c r="J825" s="119"/>
      <c r="K825" s="35"/>
    </row>
    <row r="826" hidden="1">
      <c r="B826" s="116"/>
      <c r="G826" s="167"/>
      <c r="H826" s="118"/>
      <c r="I826" s="119"/>
      <c r="J826" s="119"/>
      <c r="K826" s="35"/>
    </row>
    <row r="827" hidden="1">
      <c r="B827" s="116"/>
      <c r="G827" s="167"/>
      <c r="H827" s="118"/>
      <c r="I827" s="119"/>
      <c r="J827" s="119"/>
      <c r="K827" s="35"/>
    </row>
    <row r="828" hidden="1">
      <c r="B828" s="116"/>
      <c r="G828" s="167"/>
      <c r="H828" s="118"/>
      <c r="I828" s="119"/>
      <c r="J828" s="119"/>
      <c r="K828" s="35"/>
    </row>
    <row r="829" hidden="1">
      <c r="B829" s="116"/>
      <c r="G829" s="167"/>
      <c r="H829" s="118"/>
      <c r="I829" s="119"/>
      <c r="J829" s="119"/>
      <c r="K829" s="35"/>
    </row>
    <row r="830" hidden="1">
      <c r="B830" s="116"/>
      <c r="G830" s="167"/>
      <c r="H830" s="118"/>
      <c r="I830" s="119"/>
      <c r="J830" s="119"/>
      <c r="K830" s="35"/>
    </row>
    <row r="831" hidden="1">
      <c r="B831" s="116"/>
      <c r="G831" s="167"/>
      <c r="H831" s="118"/>
      <c r="I831" s="119"/>
      <c r="J831" s="119"/>
      <c r="K831" s="35"/>
    </row>
    <row r="832" hidden="1">
      <c r="B832" s="116"/>
      <c r="G832" s="167"/>
      <c r="H832" s="118"/>
      <c r="I832" s="119"/>
      <c r="J832" s="119"/>
      <c r="K832" s="35"/>
    </row>
    <row r="833" hidden="1">
      <c r="B833" s="116"/>
      <c r="G833" s="167"/>
      <c r="H833" s="118"/>
      <c r="I833" s="119"/>
      <c r="J833" s="119"/>
      <c r="K833" s="35"/>
    </row>
    <row r="834" hidden="1">
      <c r="B834" s="116"/>
      <c r="G834" s="167"/>
      <c r="H834" s="118"/>
      <c r="I834" s="119"/>
      <c r="J834" s="119"/>
      <c r="K834" s="35"/>
    </row>
    <row r="835" hidden="1">
      <c r="B835" s="116"/>
      <c r="G835" s="167"/>
      <c r="H835" s="118"/>
      <c r="I835" s="119"/>
      <c r="J835" s="119"/>
      <c r="K835" s="35"/>
    </row>
    <row r="836" hidden="1">
      <c r="B836" s="116"/>
      <c r="G836" s="167"/>
      <c r="H836" s="118"/>
      <c r="I836" s="119"/>
      <c r="J836" s="119"/>
      <c r="K836" s="35"/>
    </row>
    <row r="837" hidden="1">
      <c r="B837" s="116"/>
      <c r="G837" s="167"/>
      <c r="H837" s="118"/>
      <c r="I837" s="119"/>
      <c r="J837" s="119"/>
      <c r="K837" s="35"/>
    </row>
    <row r="838" hidden="1">
      <c r="B838" s="116"/>
      <c r="G838" s="167"/>
      <c r="H838" s="118"/>
      <c r="I838" s="119"/>
      <c r="J838" s="119"/>
      <c r="K838" s="35"/>
    </row>
    <row r="839" hidden="1">
      <c r="B839" s="116"/>
      <c r="G839" s="167"/>
      <c r="H839" s="118"/>
      <c r="I839" s="119"/>
      <c r="J839" s="119"/>
      <c r="K839" s="35"/>
    </row>
    <row r="840" hidden="1">
      <c r="B840" s="116"/>
      <c r="G840" s="167"/>
      <c r="H840" s="118"/>
      <c r="I840" s="119"/>
      <c r="J840" s="119"/>
      <c r="K840" s="35"/>
    </row>
    <row r="841" hidden="1">
      <c r="B841" s="116"/>
      <c r="G841" s="167"/>
      <c r="H841" s="118"/>
      <c r="I841" s="119"/>
      <c r="J841" s="119"/>
      <c r="K841" s="35"/>
    </row>
    <row r="842" hidden="1">
      <c r="B842" s="116"/>
      <c r="G842" s="167"/>
      <c r="H842" s="118"/>
      <c r="I842" s="119"/>
      <c r="J842" s="119"/>
      <c r="K842" s="35"/>
    </row>
    <row r="843" hidden="1">
      <c r="B843" s="116"/>
      <c r="G843" s="167"/>
      <c r="H843" s="118"/>
      <c r="I843" s="119"/>
      <c r="J843" s="119"/>
      <c r="K843" s="35"/>
    </row>
    <row r="844" hidden="1">
      <c r="B844" s="116"/>
      <c r="G844" s="167"/>
      <c r="H844" s="118"/>
      <c r="I844" s="119"/>
      <c r="J844" s="119"/>
      <c r="K844" s="35"/>
    </row>
    <row r="845" hidden="1">
      <c r="B845" s="116"/>
      <c r="G845" s="167"/>
      <c r="H845" s="118"/>
      <c r="I845" s="119"/>
      <c r="J845" s="119"/>
      <c r="K845" s="35"/>
    </row>
    <row r="846" hidden="1">
      <c r="B846" s="116"/>
      <c r="G846" s="167"/>
      <c r="H846" s="118"/>
      <c r="I846" s="119"/>
      <c r="J846" s="119"/>
      <c r="K846" s="35"/>
    </row>
    <row r="847" hidden="1">
      <c r="B847" s="116"/>
      <c r="G847" s="167"/>
      <c r="H847" s="118"/>
      <c r="I847" s="119"/>
      <c r="J847" s="119"/>
      <c r="K847" s="35"/>
    </row>
    <row r="848" hidden="1">
      <c r="B848" s="116"/>
      <c r="G848" s="167"/>
      <c r="H848" s="118"/>
      <c r="I848" s="119"/>
      <c r="J848" s="119"/>
      <c r="K848" s="35"/>
    </row>
    <row r="849" hidden="1">
      <c r="B849" s="116"/>
      <c r="G849" s="167"/>
      <c r="H849" s="118"/>
      <c r="I849" s="119"/>
      <c r="J849" s="119"/>
      <c r="K849" s="35"/>
    </row>
    <row r="850" hidden="1">
      <c r="B850" s="116"/>
      <c r="G850" s="167"/>
      <c r="H850" s="118"/>
      <c r="I850" s="119"/>
      <c r="J850" s="119"/>
      <c r="K850" s="35"/>
    </row>
    <row r="851" hidden="1">
      <c r="B851" s="116"/>
      <c r="G851" s="167"/>
      <c r="H851" s="118"/>
      <c r="I851" s="119"/>
      <c r="J851" s="119"/>
      <c r="K851" s="35"/>
    </row>
    <row r="852" hidden="1">
      <c r="B852" s="116"/>
      <c r="G852" s="167"/>
      <c r="H852" s="118"/>
      <c r="I852" s="119"/>
      <c r="J852" s="119"/>
      <c r="K852" s="35"/>
    </row>
    <row r="853" hidden="1">
      <c r="B853" s="116"/>
      <c r="G853" s="167"/>
      <c r="H853" s="118"/>
      <c r="I853" s="119"/>
      <c r="J853" s="119"/>
      <c r="K853" s="35"/>
    </row>
    <row r="854" hidden="1">
      <c r="B854" s="116"/>
      <c r="G854" s="167"/>
      <c r="H854" s="118"/>
      <c r="I854" s="119"/>
      <c r="J854" s="119"/>
      <c r="K854" s="35"/>
    </row>
    <row r="855" hidden="1">
      <c r="B855" s="116"/>
      <c r="G855" s="167"/>
      <c r="H855" s="118"/>
      <c r="I855" s="119"/>
      <c r="J855" s="119"/>
      <c r="K855" s="35"/>
    </row>
    <row r="856" hidden="1">
      <c r="B856" s="116"/>
      <c r="G856" s="167"/>
      <c r="H856" s="118"/>
      <c r="I856" s="119"/>
      <c r="J856" s="119"/>
      <c r="K856" s="35"/>
    </row>
    <row r="857" hidden="1">
      <c r="B857" s="116"/>
      <c r="G857" s="167"/>
      <c r="H857" s="118"/>
      <c r="I857" s="119"/>
      <c r="J857" s="119"/>
      <c r="K857" s="35"/>
    </row>
    <row r="858" hidden="1">
      <c r="B858" s="116"/>
      <c r="G858" s="167"/>
      <c r="H858" s="118"/>
      <c r="I858" s="119"/>
      <c r="J858" s="119"/>
      <c r="K858" s="35"/>
    </row>
    <row r="859" hidden="1">
      <c r="B859" s="116"/>
      <c r="G859" s="167"/>
      <c r="H859" s="118"/>
      <c r="I859" s="119"/>
      <c r="J859" s="119"/>
      <c r="K859" s="35"/>
    </row>
    <row r="860" hidden="1">
      <c r="B860" s="116"/>
      <c r="G860" s="167"/>
      <c r="H860" s="118"/>
      <c r="I860" s="119"/>
      <c r="J860" s="119"/>
      <c r="K860" s="35"/>
    </row>
    <row r="861" hidden="1">
      <c r="B861" s="116"/>
      <c r="G861" s="167"/>
      <c r="H861" s="118"/>
      <c r="I861" s="119"/>
      <c r="J861" s="119"/>
      <c r="K861" s="35"/>
    </row>
    <row r="862" hidden="1">
      <c r="B862" s="116"/>
      <c r="G862" s="167"/>
      <c r="H862" s="118"/>
      <c r="I862" s="119"/>
      <c r="J862" s="119"/>
      <c r="K862" s="35"/>
    </row>
    <row r="863" hidden="1">
      <c r="B863" s="116"/>
      <c r="G863" s="167"/>
      <c r="H863" s="118"/>
      <c r="I863" s="119"/>
      <c r="J863" s="119"/>
      <c r="K863" s="35"/>
    </row>
    <row r="864" hidden="1">
      <c r="B864" s="116"/>
      <c r="G864" s="167"/>
      <c r="H864" s="118"/>
      <c r="I864" s="119"/>
      <c r="J864" s="119"/>
      <c r="K864" s="35"/>
    </row>
    <row r="865" hidden="1">
      <c r="B865" s="116"/>
      <c r="G865" s="167"/>
      <c r="H865" s="118"/>
      <c r="I865" s="119"/>
      <c r="J865" s="119"/>
      <c r="K865" s="35"/>
    </row>
    <row r="866" hidden="1">
      <c r="B866" s="116"/>
      <c r="G866" s="167"/>
      <c r="H866" s="118"/>
      <c r="I866" s="119"/>
      <c r="J866" s="119"/>
      <c r="K866" s="35"/>
    </row>
    <row r="867" hidden="1">
      <c r="B867" s="116"/>
      <c r="G867" s="167"/>
      <c r="H867" s="118"/>
      <c r="I867" s="119"/>
      <c r="J867" s="119"/>
      <c r="K867" s="35"/>
    </row>
    <row r="868" hidden="1">
      <c r="B868" s="116"/>
      <c r="G868" s="167"/>
      <c r="H868" s="118"/>
      <c r="I868" s="119"/>
      <c r="J868" s="119"/>
      <c r="K868" s="35"/>
    </row>
    <row r="869" hidden="1">
      <c r="B869" s="116"/>
      <c r="G869" s="167"/>
      <c r="H869" s="118"/>
      <c r="I869" s="119"/>
      <c r="J869" s="119"/>
      <c r="K869" s="35"/>
    </row>
    <row r="870" hidden="1">
      <c r="B870" s="116"/>
      <c r="G870" s="167"/>
      <c r="H870" s="118"/>
      <c r="I870" s="119"/>
      <c r="J870" s="119"/>
      <c r="K870" s="35"/>
    </row>
    <row r="871" hidden="1">
      <c r="B871" s="116"/>
      <c r="G871" s="167"/>
      <c r="H871" s="118"/>
      <c r="I871" s="119"/>
      <c r="J871" s="119"/>
      <c r="K871" s="35"/>
    </row>
    <row r="872" hidden="1">
      <c r="B872" s="116"/>
      <c r="G872" s="167"/>
      <c r="H872" s="118"/>
      <c r="I872" s="119"/>
      <c r="J872" s="119"/>
      <c r="K872" s="35"/>
    </row>
    <row r="873" hidden="1">
      <c r="B873" s="116"/>
      <c r="G873" s="167"/>
      <c r="H873" s="118"/>
      <c r="I873" s="119"/>
      <c r="J873" s="119"/>
      <c r="K873" s="35"/>
    </row>
    <row r="874" hidden="1">
      <c r="B874" s="116"/>
      <c r="G874" s="167"/>
      <c r="H874" s="118"/>
      <c r="I874" s="119"/>
      <c r="J874" s="119"/>
      <c r="K874" s="35"/>
    </row>
    <row r="875" hidden="1">
      <c r="B875" s="116"/>
      <c r="G875" s="167"/>
      <c r="H875" s="118"/>
      <c r="I875" s="119"/>
      <c r="J875" s="119"/>
      <c r="K875" s="35"/>
    </row>
    <row r="876" hidden="1">
      <c r="B876" s="116"/>
      <c r="G876" s="167"/>
      <c r="H876" s="118"/>
      <c r="I876" s="119"/>
      <c r="J876" s="119"/>
      <c r="K876" s="35"/>
    </row>
    <row r="877" hidden="1">
      <c r="B877" s="116"/>
      <c r="G877" s="167"/>
      <c r="H877" s="118"/>
      <c r="I877" s="119"/>
      <c r="J877" s="119"/>
      <c r="K877" s="35"/>
    </row>
    <row r="878" hidden="1">
      <c r="B878" s="116"/>
      <c r="G878" s="167"/>
      <c r="H878" s="118"/>
      <c r="I878" s="119"/>
      <c r="J878" s="119"/>
      <c r="K878" s="35"/>
    </row>
    <row r="879" hidden="1">
      <c r="B879" s="116"/>
      <c r="G879" s="167"/>
      <c r="H879" s="118"/>
      <c r="I879" s="119"/>
      <c r="J879" s="119"/>
      <c r="K879" s="35"/>
    </row>
    <row r="880" hidden="1">
      <c r="B880" s="116"/>
      <c r="G880" s="167"/>
      <c r="H880" s="118"/>
      <c r="I880" s="119"/>
      <c r="J880" s="119"/>
      <c r="K880" s="35"/>
    </row>
    <row r="881" hidden="1">
      <c r="B881" s="116"/>
      <c r="G881" s="167"/>
      <c r="H881" s="118"/>
      <c r="I881" s="119"/>
      <c r="J881" s="119"/>
      <c r="K881" s="35"/>
    </row>
    <row r="882" hidden="1">
      <c r="B882" s="116"/>
      <c r="G882" s="167"/>
      <c r="H882" s="118"/>
      <c r="I882" s="119"/>
      <c r="J882" s="119"/>
      <c r="K882" s="35"/>
    </row>
    <row r="883" hidden="1">
      <c r="B883" s="116"/>
      <c r="G883" s="167"/>
      <c r="H883" s="118"/>
      <c r="I883" s="119"/>
      <c r="J883" s="119"/>
      <c r="K883" s="35"/>
    </row>
    <row r="884" hidden="1">
      <c r="B884" s="116"/>
      <c r="G884" s="167"/>
      <c r="H884" s="118"/>
      <c r="I884" s="119"/>
      <c r="J884" s="119"/>
      <c r="K884" s="35"/>
    </row>
    <row r="885" hidden="1">
      <c r="B885" s="116"/>
      <c r="G885" s="167"/>
      <c r="H885" s="118"/>
      <c r="I885" s="119"/>
      <c r="J885" s="119"/>
      <c r="K885" s="35"/>
    </row>
    <row r="886" hidden="1">
      <c r="B886" s="116"/>
      <c r="G886" s="167"/>
      <c r="H886" s="118"/>
      <c r="I886" s="119"/>
      <c r="J886" s="119"/>
      <c r="K886" s="35"/>
    </row>
    <row r="887" hidden="1">
      <c r="B887" s="116"/>
      <c r="G887" s="167"/>
      <c r="H887" s="118"/>
      <c r="I887" s="119"/>
      <c r="J887" s="119"/>
      <c r="K887" s="35"/>
    </row>
    <row r="888" hidden="1">
      <c r="B888" s="116"/>
      <c r="G888" s="167"/>
      <c r="H888" s="118"/>
      <c r="I888" s="119"/>
      <c r="J888" s="119"/>
      <c r="K888" s="35"/>
    </row>
    <row r="889" hidden="1">
      <c r="B889" s="116"/>
      <c r="G889" s="167"/>
      <c r="H889" s="118"/>
      <c r="I889" s="119"/>
      <c r="J889" s="119"/>
      <c r="K889" s="35"/>
    </row>
    <row r="890" hidden="1">
      <c r="B890" s="116"/>
      <c r="G890" s="167"/>
      <c r="H890" s="118"/>
      <c r="I890" s="119"/>
      <c r="J890" s="119"/>
      <c r="K890" s="35"/>
    </row>
    <row r="891" hidden="1">
      <c r="B891" s="116"/>
      <c r="G891" s="167"/>
      <c r="H891" s="118"/>
      <c r="I891" s="119"/>
      <c r="J891" s="119"/>
      <c r="K891" s="35"/>
    </row>
    <row r="892" hidden="1">
      <c r="B892" s="116"/>
      <c r="G892" s="167"/>
      <c r="H892" s="118"/>
      <c r="I892" s="119"/>
      <c r="J892" s="119"/>
      <c r="K892" s="35"/>
    </row>
    <row r="893" hidden="1">
      <c r="B893" s="116"/>
      <c r="G893" s="167"/>
      <c r="H893" s="118"/>
      <c r="I893" s="119"/>
      <c r="J893" s="119"/>
      <c r="K893" s="35"/>
    </row>
    <row r="894" hidden="1">
      <c r="B894" s="116"/>
      <c r="G894" s="167"/>
      <c r="H894" s="118"/>
      <c r="I894" s="119"/>
      <c r="J894" s="119"/>
      <c r="K894" s="35"/>
    </row>
    <row r="895" hidden="1">
      <c r="B895" s="116"/>
      <c r="G895" s="167"/>
      <c r="H895" s="118"/>
      <c r="I895" s="119"/>
      <c r="J895" s="119"/>
      <c r="K895" s="35"/>
    </row>
    <row r="896" hidden="1">
      <c r="B896" s="116"/>
      <c r="G896" s="167"/>
      <c r="H896" s="118"/>
      <c r="I896" s="119"/>
      <c r="J896" s="119"/>
      <c r="K896" s="35"/>
    </row>
    <row r="897" hidden="1">
      <c r="B897" s="116"/>
      <c r="G897" s="167"/>
      <c r="H897" s="118"/>
      <c r="I897" s="119"/>
      <c r="J897" s="119"/>
      <c r="K897" s="35"/>
    </row>
    <row r="898" hidden="1">
      <c r="B898" s="116"/>
      <c r="G898" s="167"/>
      <c r="H898" s="118"/>
      <c r="I898" s="119"/>
      <c r="J898" s="119"/>
      <c r="K898" s="35"/>
    </row>
    <row r="899" hidden="1">
      <c r="B899" s="116"/>
      <c r="G899" s="167"/>
      <c r="H899" s="118"/>
      <c r="I899" s="119"/>
      <c r="J899" s="119"/>
      <c r="K899" s="35"/>
    </row>
    <row r="900" hidden="1">
      <c r="B900" s="116"/>
      <c r="G900" s="167"/>
      <c r="H900" s="118"/>
      <c r="I900" s="119"/>
      <c r="J900" s="119"/>
      <c r="K900" s="35"/>
    </row>
    <row r="901" hidden="1">
      <c r="B901" s="116"/>
      <c r="G901" s="167"/>
      <c r="H901" s="118"/>
      <c r="I901" s="119"/>
      <c r="J901" s="119"/>
      <c r="K901" s="35"/>
    </row>
    <row r="902" hidden="1">
      <c r="B902" s="116"/>
      <c r="G902" s="167"/>
      <c r="H902" s="118"/>
      <c r="I902" s="119"/>
      <c r="J902" s="119"/>
      <c r="K902" s="35"/>
    </row>
    <row r="903" hidden="1">
      <c r="B903" s="116"/>
      <c r="G903" s="167"/>
      <c r="H903" s="118"/>
      <c r="I903" s="119"/>
      <c r="J903" s="119"/>
      <c r="K903" s="35"/>
    </row>
    <row r="904" hidden="1">
      <c r="B904" s="116"/>
      <c r="G904" s="167"/>
      <c r="H904" s="118"/>
      <c r="I904" s="119"/>
      <c r="J904" s="119"/>
      <c r="K904" s="35"/>
    </row>
    <row r="905" hidden="1">
      <c r="B905" s="116"/>
      <c r="G905" s="167"/>
      <c r="H905" s="118"/>
      <c r="I905" s="119"/>
      <c r="J905" s="119"/>
      <c r="K905" s="35"/>
    </row>
    <row r="906" hidden="1">
      <c r="B906" s="116"/>
      <c r="G906" s="167"/>
      <c r="H906" s="118"/>
      <c r="I906" s="119"/>
      <c r="J906" s="119"/>
      <c r="K906" s="35"/>
    </row>
    <row r="907" hidden="1">
      <c r="B907" s="116"/>
      <c r="G907" s="167"/>
      <c r="H907" s="118"/>
      <c r="I907" s="119"/>
      <c r="J907" s="119"/>
      <c r="K907" s="35"/>
    </row>
    <row r="908" hidden="1">
      <c r="B908" s="116"/>
      <c r="G908" s="167"/>
      <c r="H908" s="118"/>
      <c r="I908" s="119"/>
      <c r="J908" s="119"/>
      <c r="K908" s="35"/>
    </row>
    <row r="909" hidden="1">
      <c r="B909" s="116"/>
      <c r="G909" s="167"/>
      <c r="H909" s="118"/>
      <c r="I909" s="119"/>
      <c r="J909" s="119"/>
      <c r="K909" s="35"/>
    </row>
    <row r="910" hidden="1">
      <c r="B910" s="116"/>
      <c r="G910" s="167"/>
      <c r="H910" s="118"/>
      <c r="I910" s="119"/>
      <c r="J910" s="119"/>
      <c r="K910" s="35"/>
    </row>
    <row r="911" hidden="1">
      <c r="B911" s="116"/>
      <c r="G911" s="167"/>
      <c r="H911" s="118"/>
      <c r="I911" s="119"/>
      <c r="J911" s="119"/>
      <c r="K911" s="35"/>
    </row>
    <row r="912" hidden="1">
      <c r="B912" s="116"/>
      <c r="G912" s="167"/>
      <c r="H912" s="118"/>
      <c r="I912" s="119"/>
      <c r="J912" s="119"/>
      <c r="K912" s="35"/>
    </row>
    <row r="913" hidden="1">
      <c r="B913" s="116"/>
      <c r="G913" s="167"/>
      <c r="H913" s="118"/>
      <c r="I913" s="119"/>
      <c r="J913" s="119"/>
      <c r="K913" s="35"/>
    </row>
    <row r="914" hidden="1">
      <c r="B914" s="116"/>
      <c r="G914" s="167"/>
      <c r="H914" s="118"/>
      <c r="I914" s="119"/>
      <c r="J914" s="119"/>
      <c r="K914" s="35"/>
    </row>
    <row r="915" hidden="1">
      <c r="B915" s="116"/>
      <c r="G915" s="167"/>
      <c r="H915" s="118"/>
      <c r="I915" s="119"/>
      <c r="J915" s="119"/>
      <c r="K915" s="35"/>
    </row>
    <row r="916" hidden="1">
      <c r="B916" s="116"/>
      <c r="G916" s="167"/>
      <c r="H916" s="118"/>
      <c r="I916" s="119"/>
      <c r="J916" s="119"/>
      <c r="K916" s="35"/>
    </row>
    <row r="917" hidden="1">
      <c r="B917" s="116"/>
      <c r="G917" s="167"/>
      <c r="H917" s="118"/>
      <c r="I917" s="119"/>
      <c r="J917" s="119"/>
      <c r="K917" s="35"/>
    </row>
    <row r="918" hidden="1">
      <c r="B918" s="116"/>
      <c r="G918" s="167"/>
      <c r="H918" s="118"/>
      <c r="I918" s="119"/>
      <c r="J918" s="119"/>
      <c r="K918" s="35"/>
    </row>
    <row r="919" hidden="1">
      <c r="B919" s="116"/>
      <c r="G919" s="167"/>
      <c r="H919" s="118"/>
      <c r="I919" s="119"/>
      <c r="J919" s="119"/>
      <c r="K919" s="35"/>
    </row>
    <row r="920" hidden="1">
      <c r="B920" s="116"/>
      <c r="G920" s="167"/>
      <c r="H920" s="118"/>
      <c r="I920" s="119"/>
      <c r="J920" s="119"/>
      <c r="K920" s="35"/>
    </row>
    <row r="921" hidden="1">
      <c r="B921" s="116"/>
      <c r="G921" s="167"/>
      <c r="H921" s="118"/>
      <c r="I921" s="119"/>
      <c r="J921" s="119"/>
      <c r="K921" s="35"/>
    </row>
    <row r="922" hidden="1">
      <c r="B922" s="116"/>
      <c r="G922" s="167"/>
      <c r="H922" s="118"/>
      <c r="I922" s="119"/>
      <c r="J922" s="119"/>
      <c r="K922" s="35"/>
    </row>
    <row r="923" hidden="1">
      <c r="B923" s="116"/>
      <c r="G923" s="167"/>
      <c r="H923" s="118"/>
      <c r="I923" s="119"/>
      <c r="J923" s="119"/>
      <c r="K923" s="35"/>
    </row>
    <row r="924" hidden="1">
      <c r="B924" s="116"/>
      <c r="G924" s="167"/>
      <c r="H924" s="118"/>
      <c r="I924" s="119"/>
      <c r="J924" s="119"/>
      <c r="K924" s="35"/>
    </row>
    <row r="925" hidden="1">
      <c r="B925" s="116"/>
      <c r="G925" s="167"/>
      <c r="H925" s="118"/>
      <c r="I925" s="119"/>
      <c r="J925" s="119"/>
      <c r="K925" s="35"/>
    </row>
    <row r="926" hidden="1">
      <c r="B926" s="116"/>
      <c r="G926" s="167"/>
      <c r="H926" s="118"/>
      <c r="I926" s="119"/>
      <c r="J926" s="119"/>
      <c r="K926" s="35"/>
    </row>
    <row r="927" hidden="1">
      <c r="B927" s="116"/>
      <c r="G927" s="167"/>
      <c r="H927" s="118"/>
      <c r="I927" s="119"/>
      <c r="J927" s="119"/>
      <c r="K927" s="35"/>
    </row>
    <row r="928" hidden="1">
      <c r="B928" s="116"/>
      <c r="G928" s="167"/>
      <c r="H928" s="118"/>
      <c r="I928" s="119"/>
      <c r="J928" s="119"/>
      <c r="K928" s="35"/>
    </row>
    <row r="929" hidden="1">
      <c r="B929" s="116"/>
      <c r="G929" s="167"/>
      <c r="H929" s="118"/>
      <c r="I929" s="119"/>
      <c r="J929" s="119"/>
      <c r="K929" s="35"/>
    </row>
    <row r="930" hidden="1">
      <c r="B930" s="116"/>
      <c r="G930" s="167"/>
      <c r="H930" s="118"/>
      <c r="I930" s="119"/>
      <c r="J930" s="119"/>
      <c r="K930" s="35"/>
    </row>
    <row r="931" hidden="1">
      <c r="B931" s="116"/>
      <c r="G931" s="167"/>
      <c r="H931" s="118"/>
      <c r="I931" s="119"/>
      <c r="J931" s="119"/>
      <c r="K931" s="35"/>
    </row>
    <row r="932" hidden="1">
      <c r="B932" s="116"/>
      <c r="G932" s="167"/>
      <c r="H932" s="118"/>
      <c r="I932" s="119"/>
      <c r="J932" s="119"/>
      <c r="K932" s="35"/>
    </row>
    <row r="933" hidden="1">
      <c r="B933" s="116"/>
      <c r="G933" s="167"/>
      <c r="H933" s="118"/>
      <c r="I933" s="119"/>
      <c r="J933" s="119"/>
      <c r="K933" s="35"/>
    </row>
    <row r="934" hidden="1">
      <c r="B934" s="116"/>
      <c r="G934" s="167"/>
      <c r="H934" s="118"/>
      <c r="I934" s="119"/>
      <c r="J934" s="119"/>
      <c r="K934" s="35"/>
    </row>
    <row r="935" hidden="1">
      <c r="B935" s="116"/>
      <c r="G935" s="167"/>
      <c r="H935" s="118"/>
      <c r="I935" s="119"/>
      <c r="J935" s="119"/>
      <c r="K935" s="35"/>
    </row>
    <row r="936" hidden="1">
      <c r="B936" s="116"/>
      <c r="G936" s="167"/>
      <c r="H936" s="118"/>
      <c r="I936" s="119"/>
      <c r="J936" s="119"/>
      <c r="K936" s="35"/>
    </row>
    <row r="937" hidden="1">
      <c r="B937" s="116"/>
      <c r="G937" s="167"/>
      <c r="H937" s="118"/>
      <c r="I937" s="119"/>
      <c r="J937" s="119"/>
      <c r="K937" s="35"/>
    </row>
    <row r="938" hidden="1">
      <c r="B938" s="116"/>
      <c r="G938" s="167"/>
      <c r="H938" s="118"/>
      <c r="I938" s="119"/>
      <c r="J938" s="119"/>
      <c r="K938" s="35"/>
    </row>
    <row r="939" hidden="1">
      <c r="B939" s="116"/>
      <c r="G939" s="167"/>
      <c r="H939" s="118"/>
      <c r="I939" s="119"/>
      <c r="J939" s="119"/>
      <c r="K939" s="35"/>
    </row>
    <row r="940" hidden="1">
      <c r="B940" s="116"/>
      <c r="G940" s="167"/>
      <c r="H940" s="118"/>
      <c r="I940" s="119"/>
      <c r="J940" s="119"/>
      <c r="K940" s="35"/>
    </row>
    <row r="941" hidden="1">
      <c r="B941" s="116"/>
      <c r="G941" s="167"/>
      <c r="H941" s="118"/>
      <c r="I941" s="119"/>
      <c r="J941" s="119"/>
      <c r="K941" s="35"/>
    </row>
    <row r="942" hidden="1">
      <c r="B942" s="116"/>
      <c r="G942" s="167"/>
      <c r="H942" s="118"/>
      <c r="I942" s="119"/>
      <c r="J942" s="119"/>
      <c r="K942" s="35"/>
    </row>
    <row r="943" hidden="1">
      <c r="B943" s="116"/>
      <c r="G943" s="167"/>
      <c r="H943" s="118"/>
      <c r="I943" s="119"/>
      <c r="J943" s="119"/>
      <c r="K943" s="35"/>
    </row>
    <row r="944" hidden="1">
      <c r="B944" s="116"/>
      <c r="G944" s="167"/>
      <c r="H944" s="118"/>
      <c r="I944" s="119"/>
      <c r="J944" s="119"/>
      <c r="K944" s="35"/>
    </row>
    <row r="945" hidden="1">
      <c r="B945" s="116"/>
      <c r="G945" s="167"/>
      <c r="H945" s="118"/>
      <c r="I945" s="119"/>
      <c r="J945" s="119"/>
      <c r="K945" s="35"/>
    </row>
    <row r="946" hidden="1">
      <c r="B946" s="116"/>
      <c r="G946" s="167"/>
      <c r="H946" s="118"/>
      <c r="I946" s="119"/>
      <c r="J946" s="119"/>
      <c r="K946" s="35"/>
    </row>
    <row r="947" hidden="1">
      <c r="B947" s="116"/>
      <c r="G947" s="167"/>
      <c r="H947" s="118"/>
      <c r="I947" s="119"/>
      <c r="J947" s="119"/>
      <c r="K947" s="35"/>
    </row>
    <row r="948" hidden="1">
      <c r="B948" s="116"/>
      <c r="G948" s="167"/>
      <c r="H948" s="118"/>
      <c r="I948" s="119"/>
      <c r="J948" s="119"/>
      <c r="K948" s="35"/>
    </row>
    <row r="949" hidden="1">
      <c r="B949" s="116"/>
      <c r="G949" s="167"/>
      <c r="H949" s="118"/>
      <c r="I949" s="119"/>
      <c r="J949" s="119"/>
      <c r="K949" s="35"/>
    </row>
    <row r="950" hidden="1">
      <c r="B950" s="116"/>
      <c r="G950" s="167"/>
      <c r="H950" s="118"/>
      <c r="I950" s="119"/>
      <c r="J950" s="119"/>
      <c r="K950" s="35"/>
    </row>
    <row r="951" hidden="1">
      <c r="B951" s="116"/>
      <c r="G951" s="167"/>
      <c r="H951" s="118"/>
      <c r="I951" s="119"/>
      <c r="J951" s="119"/>
      <c r="K951" s="35"/>
    </row>
    <row r="952" hidden="1">
      <c r="B952" s="116"/>
      <c r="G952" s="167"/>
      <c r="H952" s="118"/>
      <c r="I952" s="119"/>
      <c r="J952" s="119"/>
      <c r="K952" s="35"/>
    </row>
    <row r="953" hidden="1">
      <c r="B953" s="116"/>
      <c r="G953" s="167"/>
      <c r="H953" s="118"/>
      <c r="I953" s="119"/>
      <c r="J953" s="119"/>
      <c r="K953" s="35"/>
    </row>
    <row r="954" hidden="1">
      <c r="B954" s="116"/>
      <c r="G954" s="167"/>
      <c r="H954" s="118"/>
      <c r="I954" s="119"/>
      <c r="J954" s="119"/>
      <c r="K954" s="35"/>
    </row>
    <row r="955" hidden="1">
      <c r="B955" s="116"/>
      <c r="G955" s="167"/>
      <c r="H955" s="118"/>
      <c r="I955" s="119"/>
      <c r="J955" s="119"/>
      <c r="K955" s="35"/>
    </row>
    <row r="956" hidden="1">
      <c r="B956" s="116"/>
      <c r="G956" s="167"/>
      <c r="H956" s="118"/>
      <c r="I956" s="119"/>
      <c r="J956" s="119"/>
      <c r="K956" s="35"/>
    </row>
    <row r="957" hidden="1">
      <c r="B957" s="116"/>
      <c r="G957" s="167"/>
      <c r="H957" s="118"/>
      <c r="I957" s="119"/>
      <c r="J957" s="119"/>
      <c r="K957" s="35"/>
    </row>
    <row r="958" hidden="1">
      <c r="B958" s="116"/>
      <c r="G958" s="167"/>
      <c r="H958" s="118"/>
      <c r="I958" s="119"/>
      <c r="J958" s="119"/>
      <c r="K958" s="35"/>
    </row>
    <row r="959" hidden="1">
      <c r="B959" s="116"/>
      <c r="G959" s="167"/>
      <c r="H959" s="118"/>
      <c r="I959" s="119"/>
      <c r="J959" s="119"/>
      <c r="K959" s="35"/>
    </row>
    <row r="960" hidden="1">
      <c r="B960" s="116"/>
      <c r="G960" s="167"/>
      <c r="H960" s="118"/>
      <c r="I960" s="119"/>
      <c r="J960" s="119"/>
      <c r="K960" s="35"/>
    </row>
    <row r="961" hidden="1">
      <c r="B961" s="116"/>
      <c r="G961" s="167"/>
      <c r="H961" s="118"/>
      <c r="I961" s="119"/>
      <c r="J961" s="119"/>
      <c r="K961" s="35"/>
    </row>
    <row r="962" hidden="1">
      <c r="B962" s="116"/>
      <c r="G962" s="167"/>
      <c r="H962" s="118"/>
      <c r="I962" s="119"/>
      <c r="J962" s="119"/>
      <c r="K962" s="35"/>
    </row>
    <row r="963" hidden="1">
      <c r="B963" s="116"/>
      <c r="G963" s="167"/>
      <c r="H963" s="118"/>
      <c r="I963" s="119"/>
      <c r="J963" s="119"/>
      <c r="K963" s="35"/>
    </row>
    <row r="964" hidden="1">
      <c r="B964" s="116"/>
      <c r="G964" s="167"/>
      <c r="H964" s="118"/>
      <c r="I964" s="119"/>
      <c r="J964" s="119"/>
      <c r="K964" s="35"/>
    </row>
    <row r="965" hidden="1">
      <c r="B965" s="116"/>
      <c r="G965" s="167"/>
      <c r="H965" s="118"/>
      <c r="I965" s="119"/>
      <c r="J965" s="119"/>
      <c r="K965" s="35"/>
    </row>
    <row r="966" hidden="1">
      <c r="B966" s="116"/>
      <c r="G966" s="167"/>
      <c r="H966" s="118"/>
      <c r="I966" s="119"/>
      <c r="J966" s="119"/>
      <c r="K966" s="35"/>
    </row>
    <row r="967" hidden="1">
      <c r="B967" s="116"/>
      <c r="G967" s="167"/>
      <c r="H967" s="118"/>
      <c r="I967" s="119"/>
      <c r="J967" s="119"/>
      <c r="K967" s="35"/>
    </row>
    <row r="968" hidden="1">
      <c r="B968" s="116"/>
      <c r="G968" s="167"/>
      <c r="H968" s="118"/>
      <c r="I968" s="119"/>
      <c r="J968" s="119"/>
      <c r="K968" s="35"/>
    </row>
    <row r="969" hidden="1">
      <c r="B969" s="116"/>
      <c r="G969" s="167"/>
      <c r="H969" s="118"/>
      <c r="I969" s="119"/>
      <c r="J969" s="119"/>
      <c r="K969" s="35"/>
    </row>
    <row r="970" hidden="1">
      <c r="B970" s="116"/>
      <c r="G970" s="167"/>
      <c r="H970" s="118"/>
      <c r="I970" s="119"/>
      <c r="J970" s="119"/>
      <c r="K970" s="35"/>
    </row>
    <row r="971" hidden="1">
      <c r="B971" s="116"/>
      <c r="G971" s="167"/>
      <c r="H971" s="118"/>
      <c r="I971" s="119"/>
      <c r="J971" s="119"/>
      <c r="K971" s="35"/>
    </row>
    <row r="972" hidden="1">
      <c r="B972" s="116"/>
      <c r="G972" s="167"/>
      <c r="H972" s="118"/>
      <c r="I972" s="119"/>
      <c r="J972" s="119"/>
      <c r="K972" s="35"/>
    </row>
    <row r="973" hidden="1">
      <c r="B973" s="116"/>
      <c r="G973" s="167"/>
      <c r="H973" s="118"/>
      <c r="I973" s="119"/>
      <c r="J973" s="119"/>
      <c r="K973" s="35"/>
    </row>
    <row r="974" hidden="1">
      <c r="B974" s="116"/>
      <c r="G974" s="167"/>
      <c r="H974" s="118"/>
      <c r="I974" s="119"/>
      <c r="J974" s="119"/>
      <c r="K974" s="35"/>
    </row>
    <row r="975" hidden="1">
      <c r="B975" s="116"/>
      <c r="G975" s="167"/>
      <c r="H975" s="118"/>
      <c r="I975" s="119"/>
      <c r="J975" s="119"/>
      <c r="K975" s="35"/>
    </row>
    <row r="976" hidden="1">
      <c r="B976" s="116"/>
      <c r="G976" s="167"/>
      <c r="H976" s="118"/>
      <c r="I976" s="119"/>
      <c r="J976" s="119"/>
      <c r="K976" s="35"/>
    </row>
    <row r="977" hidden="1">
      <c r="B977" s="116"/>
      <c r="G977" s="167"/>
      <c r="H977" s="118"/>
      <c r="I977" s="119"/>
      <c r="J977" s="119"/>
      <c r="K977" s="35"/>
    </row>
    <row r="978" hidden="1">
      <c r="B978" s="116"/>
      <c r="G978" s="167"/>
      <c r="H978" s="118"/>
      <c r="I978" s="119"/>
      <c r="J978" s="119"/>
      <c r="K978" s="35"/>
    </row>
    <row r="979" hidden="1">
      <c r="B979" s="116"/>
      <c r="G979" s="167"/>
      <c r="H979" s="118"/>
      <c r="I979" s="119"/>
      <c r="J979" s="119"/>
      <c r="K979" s="35"/>
    </row>
    <row r="980" hidden="1">
      <c r="B980" s="116"/>
      <c r="G980" s="167"/>
      <c r="H980" s="118"/>
      <c r="I980" s="119"/>
      <c r="J980" s="119"/>
      <c r="K980" s="35"/>
    </row>
    <row r="981" hidden="1">
      <c r="B981" s="116"/>
      <c r="G981" s="167"/>
      <c r="H981" s="118"/>
      <c r="I981" s="119"/>
      <c r="J981" s="119"/>
      <c r="K981" s="35"/>
    </row>
    <row r="982" hidden="1">
      <c r="B982" s="116"/>
      <c r="G982" s="167"/>
      <c r="H982" s="118"/>
      <c r="I982" s="119"/>
      <c r="J982" s="119"/>
      <c r="K982" s="35"/>
    </row>
    <row r="983" hidden="1">
      <c r="B983" s="116"/>
      <c r="G983" s="167"/>
      <c r="H983" s="118"/>
      <c r="I983" s="119"/>
      <c r="J983" s="119"/>
      <c r="K983" s="35"/>
    </row>
    <row r="984" hidden="1">
      <c r="B984" s="116"/>
      <c r="G984" s="167"/>
      <c r="H984" s="118"/>
      <c r="I984" s="119"/>
      <c r="J984" s="119"/>
      <c r="K984" s="35"/>
    </row>
    <row r="985" hidden="1">
      <c r="B985" s="116"/>
      <c r="G985" s="167"/>
      <c r="H985" s="118"/>
      <c r="I985" s="119"/>
      <c r="J985" s="119"/>
      <c r="K985" s="35"/>
    </row>
    <row r="986" hidden="1">
      <c r="B986" s="116"/>
      <c r="G986" s="167"/>
      <c r="H986" s="118"/>
      <c r="I986" s="119"/>
      <c r="J986" s="119"/>
      <c r="K986" s="35"/>
    </row>
    <row r="987" hidden="1">
      <c r="B987" s="116"/>
      <c r="G987" s="167"/>
      <c r="H987" s="118"/>
      <c r="I987" s="119"/>
      <c r="J987" s="119"/>
      <c r="K987" s="35"/>
    </row>
    <row r="988" hidden="1">
      <c r="B988" s="116"/>
      <c r="G988" s="167"/>
      <c r="H988" s="118"/>
      <c r="I988" s="119"/>
      <c r="J988" s="119"/>
      <c r="K988" s="35"/>
    </row>
    <row r="989" hidden="1">
      <c r="B989" s="116"/>
      <c r="G989" s="167"/>
      <c r="H989" s="118"/>
      <c r="I989" s="119"/>
      <c r="J989" s="119"/>
      <c r="K989" s="35"/>
    </row>
    <row r="990" hidden="1">
      <c r="B990" s="116"/>
      <c r="G990" s="167"/>
      <c r="H990" s="118"/>
      <c r="I990" s="119"/>
      <c r="J990" s="119"/>
      <c r="K990" s="35"/>
    </row>
    <row r="991" hidden="1">
      <c r="B991" s="116"/>
      <c r="G991" s="167"/>
      <c r="H991" s="118"/>
      <c r="I991" s="119"/>
      <c r="J991" s="119"/>
      <c r="K991" s="35"/>
    </row>
    <row r="992" hidden="1">
      <c r="B992" s="116"/>
      <c r="G992" s="167"/>
      <c r="H992" s="118"/>
      <c r="I992" s="119"/>
      <c r="J992" s="119"/>
      <c r="K992" s="35"/>
    </row>
    <row r="993" hidden="1">
      <c r="B993" s="116"/>
      <c r="G993" s="167"/>
      <c r="H993" s="118"/>
      <c r="I993" s="119"/>
      <c r="J993" s="119"/>
      <c r="K993" s="35"/>
    </row>
    <row r="994" hidden="1">
      <c r="B994" s="116"/>
      <c r="G994" s="167"/>
      <c r="H994" s="118"/>
      <c r="I994" s="119"/>
      <c r="J994" s="119"/>
      <c r="K994" s="35"/>
    </row>
    <row r="995" hidden="1">
      <c r="B995" s="116"/>
      <c r="G995" s="167"/>
      <c r="H995" s="118"/>
      <c r="I995" s="119"/>
      <c r="J995" s="119"/>
      <c r="K995" s="35"/>
    </row>
    <row r="996" hidden="1">
      <c r="B996" s="116"/>
      <c r="G996" s="167"/>
      <c r="H996" s="118"/>
      <c r="I996" s="119"/>
      <c r="J996" s="119"/>
      <c r="K996" s="35"/>
    </row>
    <row r="997" hidden="1">
      <c r="B997" s="116"/>
      <c r="G997" s="167"/>
      <c r="H997" s="118"/>
      <c r="I997" s="119"/>
      <c r="J997" s="119"/>
      <c r="K997" s="35"/>
    </row>
    <row r="998" hidden="1">
      <c r="B998" s="116"/>
      <c r="G998" s="167"/>
      <c r="H998" s="118"/>
      <c r="I998" s="119"/>
      <c r="J998" s="119"/>
      <c r="K998" s="35"/>
    </row>
    <row r="999" hidden="1">
      <c r="B999" s="116"/>
      <c r="G999" s="167"/>
      <c r="H999" s="118"/>
      <c r="I999" s="119"/>
      <c r="J999" s="119"/>
      <c r="K999" s="35"/>
    </row>
    <row r="1000" hidden="1">
      <c r="B1000" s="116"/>
      <c r="G1000" s="167"/>
      <c r="H1000" s="118"/>
      <c r="I1000" s="119"/>
      <c r="J1000" s="119"/>
      <c r="K1000" s="35"/>
    </row>
    <row r="1001" hidden="1">
      <c r="B1001" s="116"/>
      <c r="G1001" s="167"/>
      <c r="H1001" s="118"/>
      <c r="I1001" s="119"/>
      <c r="J1001" s="119"/>
      <c r="K1001" s="35"/>
    </row>
    <row r="1002" hidden="1">
      <c r="B1002" s="116"/>
      <c r="G1002" s="167"/>
      <c r="H1002" s="118"/>
      <c r="I1002" s="119"/>
      <c r="J1002" s="119"/>
      <c r="K1002" s="35"/>
    </row>
    <row r="1003" hidden="1">
      <c r="B1003" s="116"/>
      <c r="G1003" s="167"/>
      <c r="H1003" s="118"/>
      <c r="I1003" s="119"/>
      <c r="J1003" s="119"/>
      <c r="K1003" s="35"/>
    </row>
    <row r="1004" hidden="1">
      <c r="B1004" s="116"/>
      <c r="G1004" s="167"/>
      <c r="H1004" s="118"/>
      <c r="I1004" s="119"/>
      <c r="J1004" s="119"/>
      <c r="K1004" s="35"/>
    </row>
    <row r="1005" hidden="1">
      <c r="B1005" s="116"/>
      <c r="G1005" s="167"/>
      <c r="H1005" s="118"/>
      <c r="I1005" s="119"/>
      <c r="J1005" s="119"/>
      <c r="K1005" s="35"/>
    </row>
    <row r="1006" hidden="1">
      <c r="B1006" s="116"/>
      <c r="G1006" s="167"/>
      <c r="H1006" s="118"/>
      <c r="I1006" s="119"/>
      <c r="J1006" s="119"/>
      <c r="K1006" s="35"/>
    </row>
    <row r="1007" hidden="1">
      <c r="B1007" s="116"/>
      <c r="G1007" s="167"/>
      <c r="H1007" s="118"/>
      <c r="I1007" s="119"/>
      <c r="J1007" s="119"/>
      <c r="K1007" s="35"/>
    </row>
    <row r="1008" hidden="1">
      <c r="B1008" s="116"/>
      <c r="G1008" s="167"/>
      <c r="H1008" s="118"/>
      <c r="I1008" s="119"/>
      <c r="J1008" s="119"/>
      <c r="K1008" s="35"/>
    </row>
    <row r="1009" hidden="1">
      <c r="B1009" s="116"/>
      <c r="G1009" s="167"/>
      <c r="H1009" s="118"/>
      <c r="I1009" s="119"/>
      <c r="J1009" s="119"/>
      <c r="K1009" s="35"/>
    </row>
    <row r="1010" hidden="1">
      <c r="B1010" s="116"/>
      <c r="G1010" s="167"/>
      <c r="H1010" s="118"/>
      <c r="I1010" s="119"/>
      <c r="J1010" s="119"/>
      <c r="K1010" s="35"/>
    </row>
    <row r="1011" hidden="1">
      <c r="B1011" s="116"/>
      <c r="G1011" s="167"/>
      <c r="H1011" s="118"/>
      <c r="I1011" s="119"/>
      <c r="J1011" s="119"/>
      <c r="K1011" s="35"/>
    </row>
    <row r="1012" hidden="1">
      <c r="B1012" s="116"/>
      <c r="G1012" s="167"/>
      <c r="H1012" s="118"/>
      <c r="I1012" s="119"/>
      <c r="J1012" s="119"/>
      <c r="K1012" s="35"/>
    </row>
    <row r="1013" hidden="1">
      <c r="B1013" s="116"/>
      <c r="G1013" s="167"/>
      <c r="H1013" s="118"/>
      <c r="I1013" s="119"/>
      <c r="J1013" s="119"/>
      <c r="K1013" s="35"/>
    </row>
    <row r="1014" hidden="1">
      <c r="B1014" s="116"/>
      <c r="G1014" s="167"/>
      <c r="H1014" s="118"/>
      <c r="I1014" s="119"/>
      <c r="J1014" s="119"/>
      <c r="K1014" s="35"/>
    </row>
    <row r="1015" hidden="1">
      <c r="B1015" s="116"/>
      <c r="G1015" s="167"/>
      <c r="H1015" s="118"/>
      <c r="I1015" s="119"/>
      <c r="J1015" s="119"/>
      <c r="K1015" s="35"/>
    </row>
    <row r="1016" hidden="1">
      <c r="B1016" s="116"/>
      <c r="G1016" s="167"/>
      <c r="H1016" s="118"/>
      <c r="I1016" s="119"/>
      <c r="J1016" s="119"/>
      <c r="K1016" s="35"/>
    </row>
    <row r="1017" hidden="1">
      <c r="B1017" s="116"/>
      <c r="G1017" s="167"/>
      <c r="H1017" s="118"/>
      <c r="I1017" s="119"/>
      <c r="J1017" s="119"/>
      <c r="K1017" s="35"/>
    </row>
    <row r="1018" hidden="1">
      <c r="B1018" s="116"/>
      <c r="G1018" s="167"/>
      <c r="H1018" s="118"/>
      <c r="I1018" s="119"/>
      <c r="J1018" s="119"/>
      <c r="K1018" s="35"/>
    </row>
    <row r="1019" hidden="1">
      <c r="B1019" s="116"/>
      <c r="G1019" s="167"/>
      <c r="H1019" s="118"/>
      <c r="I1019" s="119"/>
      <c r="J1019" s="119"/>
      <c r="K1019" s="35"/>
    </row>
    <row r="1020" hidden="1">
      <c r="B1020" s="116"/>
      <c r="G1020" s="167"/>
      <c r="H1020" s="118"/>
      <c r="I1020" s="119"/>
      <c r="J1020" s="119"/>
      <c r="K1020" s="35"/>
    </row>
    <row r="1021" hidden="1">
      <c r="B1021" s="116"/>
      <c r="G1021" s="167"/>
      <c r="H1021" s="118"/>
      <c r="I1021" s="119"/>
      <c r="J1021" s="119"/>
      <c r="K1021" s="35"/>
    </row>
    <row r="1022" hidden="1">
      <c r="B1022" s="116"/>
      <c r="G1022" s="167"/>
      <c r="H1022" s="118"/>
      <c r="I1022" s="119"/>
      <c r="J1022" s="119"/>
      <c r="K1022" s="35"/>
    </row>
    <row r="1023" hidden="1">
      <c r="B1023" s="116"/>
      <c r="G1023" s="167"/>
      <c r="H1023" s="118"/>
      <c r="I1023" s="119"/>
      <c r="J1023" s="119"/>
      <c r="K1023" s="35"/>
    </row>
    <row r="1024" hidden="1">
      <c r="B1024" s="116"/>
      <c r="G1024" s="167"/>
      <c r="H1024" s="118"/>
      <c r="I1024" s="119"/>
      <c r="J1024" s="119"/>
      <c r="K1024" s="35"/>
    </row>
    <row r="1025" hidden="1">
      <c r="B1025" s="116"/>
      <c r="G1025" s="167"/>
      <c r="H1025" s="118"/>
      <c r="I1025" s="119"/>
      <c r="J1025" s="119"/>
      <c r="K1025" s="35"/>
    </row>
    <row r="1026" hidden="1">
      <c r="B1026" s="116"/>
      <c r="G1026" s="167"/>
      <c r="H1026" s="118"/>
      <c r="I1026" s="119"/>
      <c r="J1026" s="119"/>
      <c r="K1026" s="35"/>
    </row>
    <row r="1027" hidden="1">
      <c r="B1027" s="116"/>
      <c r="G1027" s="167"/>
      <c r="H1027" s="118"/>
      <c r="I1027" s="119"/>
      <c r="J1027" s="119"/>
      <c r="K1027" s="35"/>
    </row>
  </sheetData>
  <autoFilter ref="$A$1:$J$1027">
    <filterColumn colId="9">
      <filters>
        <filter val="780"/>
        <filter val="770"/>
        <filter val="781"/>
        <filter val="771"/>
        <filter val="782"/>
        <filter val="772"/>
        <filter val="783"/>
        <filter val="773"/>
        <filter val="784"/>
        <filter val="774"/>
        <filter val="785"/>
        <filter val="775"/>
        <filter val="786"/>
        <filter val="776"/>
        <filter val="787"/>
        <filter val="777"/>
        <filter val="778"/>
        <filter val="779"/>
        <filter val="769"/>
        <filter val="759"/>
      </filters>
    </filterColumn>
    <filterColumn colId="3">
      <filters blank="1">
        <filter val="Mandato"/>
      </filters>
    </filterColumn>
    <filterColumn colId="7">
      <filters blank="1">
        <filter val="UESP1765"/>
        <filter val="UESP1776"/>
        <filter val="UESP1766"/>
        <filter val="UESP1777"/>
        <filter val="UESP1774"/>
        <filter val="UESP1764"/>
        <filter val="UESP1775"/>
        <filter val="UESP1769"/>
        <filter val="UESP1778"/>
        <filter val="UESP1767"/>
        <filter val="UESP1768"/>
        <filter val="UESP1779"/>
        <filter val="UESP1780"/>
        <filter val="UESP1772"/>
        <filter val="UESP1773"/>
        <filter val="UESP1770"/>
        <filter val="UESP1781"/>
        <filter val="UESP1782"/>
        <filter val="UESP1771"/>
      </filters>
    </filterColumn>
  </autoFilter>
  <hyperlinks>
    <hyperlink r:id="rId1" ref="N2"/>
    <hyperlink r:id="rId2" ref="N4"/>
    <hyperlink r:id="rId3" ref="N5"/>
    <hyperlink r:id="rId4" ref="N6"/>
    <hyperlink r:id="rId5" ref="N12"/>
    <hyperlink r:id="rId6" ref="N13"/>
    <hyperlink r:id="rId7" ref="N14"/>
    <hyperlink r:id="rId8" ref="N15"/>
    <hyperlink r:id="rId9" ref="N16"/>
    <hyperlink r:id="rId10" ref="N17"/>
    <hyperlink r:id="rId11" ref="N18"/>
    <hyperlink r:id="rId12" ref="N19"/>
    <hyperlink r:id="rId13" ref="N20"/>
    <hyperlink r:id="rId14" ref="N21"/>
    <hyperlink r:id="rId15" ref="N22"/>
    <hyperlink r:id="rId16" ref="N23"/>
    <hyperlink r:id="rId17" ref="N24"/>
    <hyperlink r:id="rId18" ref="N25"/>
    <hyperlink r:id="rId19" ref="N26"/>
    <hyperlink r:id="rId20" ref="N27"/>
  </hyperlinks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" t="s">
        <v>52</v>
      </c>
      <c r="B1" s="41" t="s">
        <v>57</v>
      </c>
      <c r="C1" s="41" t="s">
        <v>58</v>
      </c>
      <c r="D1" s="41" t="s">
        <v>59</v>
      </c>
    </row>
    <row r="2">
      <c r="A2" s="41" t="s">
        <v>85</v>
      </c>
      <c r="B2" s="41" t="s">
        <v>71</v>
      </c>
      <c r="C2" s="41">
        <v>2402148.84</v>
      </c>
      <c r="D2" s="41" t="s">
        <v>154</v>
      </c>
    </row>
    <row r="3">
      <c r="A3" s="41" t="s">
        <v>85</v>
      </c>
      <c r="B3" s="41" t="s">
        <v>73</v>
      </c>
      <c r="C3" s="41">
        <v>52438.59</v>
      </c>
      <c r="D3" s="41" t="s">
        <v>154</v>
      </c>
    </row>
    <row r="4">
      <c r="A4" s="41" t="s">
        <v>85</v>
      </c>
      <c r="B4" s="41" t="s">
        <v>74</v>
      </c>
      <c r="C4" s="41">
        <v>2454587.43</v>
      </c>
      <c r="D4" s="41" t="s">
        <v>154</v>
      </c>
    </row>
    <row r="5">
      <c r="A5" s="41" t="s">
        <v>98</v>
      </c>
      <c r="B5" s="41" t="s">
        <v>71</v>
      </c>
      <c r="C5" s="41">
        <v>2075694.68</v>
      </c>
      <c r="D5" s="41" t="s">
        <v>155</v>
      </c>
    </row>
    <row r="6">
      <c r="A6" s="41" t="s">
        <v>98</v>
      </c>
      <c r="B6" s="41" t="s">
        <v>73</v>
      </c>
      <c r="C6" s="41">
        <v>611.22</v>
      </c>
      <c r="D6" s="41" t="s">
        <v>155</v>
      </c>
    </row>
    <row r="7">
      <c r="A7" s="41" t="s">
        <v>98</v>
      </c>
      <c r="B7" s="41" t="s">
        <v>74</v>
      </c>
      <c r="C7" s="41">
        <v>2076305.9</v>
      </c>
      <c r="D7" s="41" t="s">
        <v>155</v>
      </c>
    </row>
    <row r="8">
      <c r="A8" s="41" t="s">
        <v>89</v>
      </c>
      <c r="B8" s="41" t="s">
        <v>71</v>
      </c>
      <c r="C8" s="41">
        <v>2617489.68</v>
      </c>
      <c r="D8" s="41" t="s">
        <v>156</v>
      </c>
    </row>
    <row r="9">
      <c r="A9" s="41" t="s">
        <v>89</v>
      </c>
      <c r="B9" s="41" t="s">
        <v>73</v>
      </c>
      <c r="C9" s="41">
        <v>498227.47</v>
      </c>
      <c r="D9" s="41" t="s">
        <v>156</v>
      </c>
    </row>
    <row r="10">
      <c r="A10" s="41" t="s">
        <v>89</v>
      </c>
      <c r="B10" s="41" t="s">
        <v>74</v>
      </c>
      <c r="C10" s="41">
        <v>3115717.15</v>
      </c>
      <c r="D10" s="41" t="s">
        <v>156</v>
      </c>
    </row>
    <row r="11">
      <c r="A11" s="41" t="s">
        <v>143</v>
      </c>
      <c r="B11" s="41" t="s">
        <v>71</v>
      </c>
      <c r="C11" s="41">
        <v>3726141.09</v>
      </c>
      <c r="D11" s="41" t="s">
        <v>157</v>
      </c>
    </row>
    <row r="12">
      <c r="A12" s="41" t="s">
        <v>143</v>
      </c>
      <c r="B12" s="41" t="s">
        <v>73</v>
      </c>
      <c r="C12" s="41">
        <v>46152.91</v>
      </c>
      <c r="D12" s="41" t="s">
        <v>157</v>
      </c>
    </row>
    <row r="13">
      <c r="A13" s="41" t="s">
        <v>143</v>
      </c>
      <c r="B13" s="41" t="s">
        <v>74</v>
      </c>
      <c r="C13" s="41">
        <v>3772294.0</v>
      </c>
      <c r="D13" s="41" t="s">
        <v>157</v>
      </c>
    </row>
    <row r="14">
      <c r="A14" s="41" t="s">
        <v>97</v>
      </c>
      <c r="B14" s="41" t="s">
        <v>71</v>
      </c>
      <c r="C14" s="41">
        <v>3245814.18</v>
      </c>
      <c r="D14" s="41" t="s">
        <v>158</v>
      </c>
    </row>
    <row r="15">
      <c r="A15" s="41" t="s">
        <v>97</v>
      </c>
      <c r="B15" s="41" t="s">
        <v>73</v>
      </c>
      <c r="C15" s="41">
        <v>10161.45</v>
      </c>
      <c r="D15" s="41" t="s">
        <v>158</v>
      </c>
    </row>
    <row r="16">
      <c r="A16" s="41" t="s">
        <v>97</v>
      </c>
      <c r="B16" s="41" t="s">
        <v>74</v>
      </c>
      <c r="C16" s="41">
        <v>3255975.63</v>
      </c>
      <c r="D16" s="41" t="s">
        <v>158</v>
      </c>
    </row>
    <row r="17">
      <c r="A17" s="41" t="s">
        <v>91</v>
      </c>
      <c r="B17" s="41" t="s">
        <v>71</v>
      </c>
      <c r="C17" s="41">
        <v>1660537.39</v>
      </c>
      <c r="D17" s="41" t="s">
        <v>159</v>
      </c>
    </row>
    <row r="18">
      <c r="A18" s="41" t="s">
        <v>91</v>
      </c>
      <c r="B18" s="41" t="s">
        <v>73</v>
      </c>
      <c r="C18" s="41">
        <v>8807.24</v>
      </c>
      <c r="D18" s="41" t="s">
        <v>159</v>
      </c>
    </row>
    <row r="19">
      <c r="A19" s="41" t="s">
        <v>91</v>
      </c>
      <c r="B19" s="41" t="s">
        <v>74</v>
      </c>
      <c r="C19" s="41">
        <v>1669344.63</v>
      </c>
      <c r="D19" s="41" t="s">
        <v>159</v>
      </c>
    </row>
    <row r="20">
      <c r="A20" s="41" t="s">
        <v>83</v>
      </c>
      <c r="B20" s="41" t="s">
        <v>71</v>
      </c>
      <c r="C20" s="41">
        <v>5799515.39</v>
      </c>
      <c r="D20" s="41" t="s">
        <v>160</v>
      </c>
    </row>
    <row r="21">
      <c r="A21" s="41" t="s">
        <v>83</v>
      </c>
      <c r="B21" s="41" t="s">
        <v>73</v>
      </c>
      <c r="C21" s="41">
        <v>31968.92</v>
      </c>
      <c r="D21" s="41" t="s">
        <v>160</v>
      </c>
    </row>
    <row r="22">
      <c r="A22" s="41" t="s">
        <v>83</v>
      </c>
      <c r="B22" s="41" t="s">
        <v>74</v>
      </c>
      <c r="C22" s="41">
        <v>5831484.31</v>
      </c>
      <c r="D22" s="41" t="s">
        <v>160</v>
      </c>
    </row>
    <row r="23">
      <c r="A23" s="41" t="s">
        <v>138</v>
      </c>
      <c r="B23" s="41" t="s">
        <v>71</v>
      </c>
      <c r="C23" s="41">
        <v>1925343.49</v>
      </c>
      <c r="D23" s="41" t="s">
        <v>161</v>
      </c>
    </row>
    <row r="24">
      <c r="A24" s="41" t="s">
        <v>138</v>
      </c>
      <c r="B24" s="41" t="s">
        <v>73</v>
      </c>
      <c r="C24" s="41">
        <v>0.0</v>
      </c>
      <c r="D24" s="41" t="s">
        <v>161</v>
      </c>
    </row>
    <row r="25">
      <c r="A25" s="41" t="s">
        <v>138</v>
      </c>
      <c r="B25" s="41" t="s">
        <v>74</v>
      </c>
      <c r="C25" s="41">
        <v>1925343.49</v>
      </c>
      <c r="D25" s="41" t="s">
        <v>161</v>
      </c>
    </row>
    <row r="26">
      <c r="A26" s="41" t="s">
        <v>68</v>
      </c>
      <c r="B26" s="41" t="s">
        <v>71</v>
      </c>
      <c r="C26" s="41">
        <v>4667178.39</v>
      </c>
      <c r="D26" s="41" t="s">
        <v>162</v>
      </c>
    </row>
    <row r="27">
      <c r="A27" s="41" t="s">
        <v>68</v>
      </c>
      <c r="B27" s="41" t="s">
        <v>73</v>
      </c>
      <c r="C27" s="41">
        <v>186419.25</v>
      </c>
      <c r="D27" s="41" t="s">
        <v>162</v>
      </c>
    </row>
    <row r="28">
      <c r="A28" s="41" t="s">
        <v>68</v>
      </c>
      <c r="B28" s="41" t="s">
        <v>74</v>
      </c>
      <c r="C28" s="41">
        <v>4853597.64</v>
      </c>
      <c r="D28" s="41" t="s">
        <v>162</v>
      </c>
    </row>
    <row r="29">
      <c r="A29" s="41" t="s">
        <v>94</v>
      </c>
      <c r="B29" s="41" t="s">
        <v>71</v>
      </c>
      <c r="C29" s="41">
        <v>3173435.11</v>
      </c>
      <c r="D29" s="41" t="s">
        <v>163</v>
      </c>
    </row>
    <row r="30">
      <c r="A30" s="41" t="s">
        <v>94</v>
      </c>
      <c r="B30" s="41" t="s">
        <v>73</v>
      </c>
      <c r="C30" s="41">
        <v>66552.49</v>
      </c>
      <c r="D30" s="41" t="s">
        <v>163</v>
      </c>
    </row>
    <row r="31">
      <c r="A31" s="41" t="s">
        <v>94</v>
      </c>
      <c r="B31" s="41" t="s">
        <v>74</v>
      </c>
      <c r="C31" s="41">
        <v>3239987.6</v>
      </c>
      <c r="D31" s="41" t="s">
        <v>163</v>
      </c>
    </row>
    <row r="32">
      <c r="A32" s="41" t="s">
        <v>101</v>
      </c>
      <c r="B32" s="41" t="s">
        <v>71</v>
      </c>
      <c r="C32" s="41">
        <v>4065177.2</v>
      </c>
      <c r="D32" s="41" t="s">
        <v>164</v>
      </c>
    </row>
    <row r="33">
      <c r="A33" s="41" t="s">
        <v>101</v>
      </c>
      <c r="B33" s="41" t="s">
        <v>73</v>
      </c>
      <c r="C33" s="41">
        <v>26883.56</v>
      </c>
      <c r="D33" s="41" t="s">
        <v>164</v>
      </c>
    </row>
    <row r="34">
      <c r="A34" s="41" t="s">
        <v>101</v>
      </c>
      <c r="B34" s="41" t="s">
        <v>74</v>
      </c>
      <c r="C34" s="41">
        <v>4092060.76</v>
      </c>
      <c r="D34" s="41" t="s">
        <v>164</v>
      </c>
    </row>
    <row r="35">
      <c r="A35" s="41" t="s">
        <v>95</v>
      </c>
      <c r="B35" s="41" t="s">
        <v>71</v>
      </c>
      <c r="C35" s="41">
        <v>2977236.31</v>
      </c>
      <c r="D35" s="41" t="s">
        <v>165</v>
      </c>
    </row>
    <row r="36">
      <c r="A36" s="41" t="s">
        <v>95</v>
      </c>
      <c r="B36" s="41" t="s">
        <v>73</v>
      </c>
      <c r="C36" s="41">
        <v>0.0</v>
      </c>
      <c r="D36" s="41" t="s">
        <v>165</v>
      </c>
    </row>
    <row r="37">
      <c r="A37" s="41" t="s">
        <v>95</v>
      </c>
      <c r="B37" s="41" t="s">
        <v>74</v>
      </c>
      <c r="C37" s="41">
        <v>2977236.31</v>
      </c>
      <c r="D37" s="41" t="s">
        <v>165</v>
      </c>
    </row>
    <row r="38">
      <c r="A38" s="41" t="s">
        <v>153</v>
      </c>
      <c r="B38" s="41" t="s">
        <v>71</v>
      </c>
      <c r="C38" s="41">
        <v>3802317.31</v>
      </c>
      <c r="D38" s="41" t="s">
        <v>166</v>
      </c>
    </row>
    <row r="39">
      <c r="A39" s="41" t="s">
        <v>153</v>
      </c>
      <c r="B39" s="41" t="s">
        <v>73</v>
      </c>
      <c r="C39" s="41">
        <v>0.0</v>
      </c>
      <c r="D39" s="41" t="s">
        <v>166</v>
      </c>
    </row>
    <row r="40">
      <c r="A40" s="41" t="s">
        <v>153</v>
      </c>
      <c r="B40" s="41" t="s">
        <v>74</v>
      </c>
      <c r="C40" s="41">
        <v>3802317.31</v>
      </c>
      <c r="D40" s="41" t="s">
        <v>166</v>
      </c>
    </row>
    <row r="41">
      <c r="A41" s="41" t="s">
        <v>90</v>
      </c>
      <c r="B41" s="41" t="s">
        <v>71</v>
      </c>
      <c r="C41" s="41">
        <v>3378347.95</v>
      </c>
      <c r="D41" s="41" t="s">
        <v>167</v>
      </c>
    </row>
    <row r="42">
      <c r="A42" s="41" t="s">
        <v>90</v>
      </c>
      <c r="B42" s="41" t="s">
        <v>73</v>
      </c>
      <c r="C42" s="41">
        <v>25892.95</v>
      </c>
      <c r="D42" s="41" t="s">
        <v>167</v>
      </c>
    </row>
    <row r="43">
      <c r="A43" s="41" t="s">
        <v>90</v>
      </c>
      <c r="B43" s="41" t="s">
        <v>74</v>
      </c>
      <c r="C43" s="41">
        <v>3404240.9</v>
      </c>
      <c r="D43" s="41" t="s">
        <v>167</v>
      </c>
    </row>
    <row r="44">
      <c r="A44" s="41" t="s">
        <v>149</v>
      </c>
      <c r="B44" s="41" t="s">
        <v>71</v>
      </c>
      <c r="C44" s="41">
        <v>3809524.31</v>
      </c>
      <c r="D44" s="41" t="s">
        <v>168</v>
      </c>
    </row>
    <row r="45">
      <c r="A45" s="41" t="s">
        <v>149</v>
      </c>
      <c r="B45" s="41" t="s">
        <v>73</v>
      </c>
      <c r="C45" s="41">
        <v>85957.03</v>
      </c>
      <c r="D45" s="41" t="s">
        <v>168</v>
      </c>
    </row>
    <row r="46">
      <c r="A46" s="41" t="s">
        <v>149</v>
      </c>
      <c r="B46" s="41" t="s">
        <v>74</v>
      </c>
      <c r="C46" s="41">
        <v>3895481.34</v>
      </c>
      <c r="D46" s="41" t="s">
        <v>168</v>
      </c>
    </row>
    <row r="47">
      <c r="A47" s="41" t="s">
        <v>103</v>
      </c>
      <c r="B47" s="41" t="s">
        <v>71</v>
      </c>
      <c r="C47" s="41">
        <v>2030147.9</v>
      </c>
      <c r="D47" s="41" t="s">
        <v>169</v>
      </c>
    </row>
    <row r="48">
      <c r="A48" s="41" t="s">
        <v>103</v>
      </c>
      <c r="B48" s="41" t="s">
        <v>73</v>
      </c>
      <c r="C48" s="41">
        <v>0.0</v>
      </c>
      <c r="D48" s="41" t="s">
        <v>169</v>
      </c>
    </row>
    <row r="49">
      <c r="A49" s="41" t="s">
        <v>103</v>
      </c>
      <c r="B49" s="41" t="s">
        <v>74</v>
      </c>
      <c r="C49" s="41">
        <v>2030147.9</v>
      </c>
      <c r="D49" s="41" t="s">
        <v>169</v>
      </c>
    </row>
    <row r="50">
      <c r="A50" s="41" t="s">
        <v>88</v>
      </c>
      <c r="B50" s="41" t="s">
        <v>71</v>
      </c>
      <c r="C50" s="41">
        <v>3114129.59</v>
      </c>
      <c r="D50" s="41" t="s">
        <v>170</v>
      </c>
    </row>
    <row r="51">
      <c r="A51" s="41" t="s">
        <v>88</v>
      </c>
      <c r="B51" s="41" t="s">
        <v>73</v>
      </c>
      <c r="C51" s="41">
        <v>19254.71</v>
      </c>
      <c r="D51" s="41" t="s">
        <v>170</v>
      </c>
    </row>
    <row r="52">
      <c r="A52" s="41" t="s">
        <v>88</v>
      </c>
      <c r="B52" s="41" t="s">
        <v>74</v>
      </c>
      <c r="C52" s="41">
        <v>3133384.3</v>
      </c>
      <c r="D52" s="41" t="s">
        <v>170</v>
      </c>
    </row>
    <row r="53">
      <c r="A53" s="41" t="s">
        <v>105</v>
      </c>
      <c r="B53" s="41" t="s">
        <v>71</v>
      </c>
      <c r="C53" s="41">
        <v>1.245932045E7</v>
      </c>
      <c r="D53" s="41" t="s">
        <v>171</v>
      </c>
    </row>
    <row r="54">
      <c r="A54" s="41" t="s">
        <v>105</v>
      </c>
      <c r="B54" s="41" t="s">
        <v>73</v>
      </c>
      <c r="C54" s="41">
        <v>0.0</v>
      </c>
      <c r="D54" s="41" t="s">
        <v>171</v>
      </c>
    </row>
    <row r="55">
      <c r="A55" s="41" t="s">
        <v>105</v>
      </c>
      <c r="B55" s="41" t="s">
        <v>74</v>
      </c>
      <c r="C55" s="41">
        <v>1.245932045E7</v>
      </c>
      <c r="D55" s="41" t="s">
        <v>171</v>
      </c>
    </row>
    <row r="56">
      <c r="A56" s="41" t="s">
        <v>135</v>
      </c>
      <c r="B56" s="41" t="s">
        <v>71</v>
      </c>
      <c r="C56" s="41">
        <v>6920127.24</v>
      </c>
      <c r="D56" s="41" t="s">
        <v>172</v>
      </c>
    </row>
    <row r="57">
      <c r="A57" s="41" t="s">
        <v>135</v>
      </c>
      <c r="B57" s="41" t="s">
        <v>73</v>
      </c>
      <c r="C57" s="41">
        <v>0.0</v>
      </c>
      <c r="D57" s="41" t="s">
        <v>172</v>
      </c>
    </row>
    <row r="58">
      <c r="A58" s="41" t="s">
        <v>135</v>
      </c>
      <c r="B58" s="41" t="s">
        <v>74</v>
      </c>
      <c r="C58" s="41">
        <v>6920127.24</v>
      </c>
      <c r="D58" s="41" t="s">
        <v>172</v>
      </c>
    </row>
    <row r="59">
      <c r="A59" s="41" t="s">
        <v>126</v>
      </c>
      <c r="B59" s="41" t="s">
        <v>71</v>
      </c>
      <c r="C59" s="41">
        <v>6171088.01</v>
      </c>
      <c r="D59" s="41" t="s">
        <v>173</v>
      </c>
    </row>
    <row r="60">
      <c r="A60" s="41" t="s">
        <v>126</v>
      </c>
      <c r="B60" s="41" t="s">
        <v>73</v>
      </c>
      <c r="C60" s="41">
        <v>0.0</v>
      </c>
      <c r="D60" s="41" t="s">
        <v>173</v>
      </c>
    </row>
    <row r="61">
      <c r="A61" s="41" t="s">
        <v>126</v>
      </c>
      <c r="B61" s="41" t="s">
        <v>74</v>
      </c>
      <c r="C61" s="41">
        <v>6171088.01</v>
      </c>
      <c r="D61" s="41" t="s">
        <v>173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1" t="s">
        <v>52</v>
      </c>
      <c r="B1" s="41" t="s">
        <v>57</v>
      </c>
      <c r="C1" s="41" t="s">
        <v>58</v>
      </c>
      <c r="D1" s="41" t="s">
        <v>59</v>
      </c>
    </row>
    <row r="2">
      <c r="A2" s="41" t="s">
        <v>98</v>
      </c>
      <c r="B2" s="41" t="s">
        <v>71</v>
      </c>
      <c r="C2" s="41">
        <v>2320232.6</v>
      </c>
      <c r="D2" s="41" t="s">
        <v>174</v>
      </c>
    </row>
    <row r="3">
      <c r="A3" s="41" t="s">
        <v>98</v>
      </c>
      <c r="B3" s="41" t="s">
        <v>73</v>
      </c>
      <c r="C3" s="41">
        <v>0.0</v>
      </c>
      <c r="D3" s="41" t="s">
        <v>174</v>
      </c>
    </row>
    <row r="4">
      <c r="A4" s="41" t="s">
        <v>98</v>
      </c>
      <c r="B4" s="41" t="s">
        <v>74</v>
      </c>
      <c r="C4" s="41">
        <v>2320232.6</v>
      </c>
      <c r="D4" s="41" t="s">
        <v>174</v>
      </c>
    </row>
    <row r="5">
      <c r="A5" s="41" t="s">
        <v>89</v>
      </c>
      <c r="B5" s="41" t="s">
        <v>71</v>
      </c>
      <c r="C5" s="41">
        <v>2731068.51</v>
      </c>
      <c r="D5" s="41" t="s">
        <v>175</v>
      </c>
    </row>
    <row r="6">
      <c r="A6" s="41" t="s">
        <v>89</v>
      </c>
      <c r="B6" s="41" t="s">
        <v>73</v>
      </c>
      <c r="C6" s="41">
        <v>452973.23</v>
      </c>
      <c r="D6" s="41" t="s">
        <v>175</v>
      </c>
    </row>
    <row r="7">
      <c r="A7" s="41" t="s">
        <v>89</v>
      </c>
      <c r="B7" s="41" t="s">
        <v>74</v>
      </c>
      <c r="C7" s="41">
        <v>3184041.74</v>
      </c>
      <c r="D7" s="41" t="s">
        <v>175</v>
      </c>
    </row>
    <row r="8">
      <c r="A8" s="41" t="s">
        <v>85</v>
      </c>
      <c r="B8" s="41" t="s">
        <v>71</v>
      </c>
      <c r="C8" s="41">
        <v>2558003.31</v>
      </c>
      <c r="D8" s="41" t="s">
        <v>176</v>
      </c>
    </row>
    <row r="9">
      <c r="A9" s="41" t="s">
        <v>85</v>
      </c>
      <c r="B9" s="41" t="s">
        <v>73</v>
      </c>
      <c r="C9" s="41">
        <v>85515.56</v>
      </c>
      <c r="D9" s="41" t="s">
        <v>176</v>
      </c>
    </row>
    <row r="10">
      <c r="A10" s="41" t="s">
        <v>85</v>
      </c>
      <c r="B10" s="41" t="s">
        <v>74</v>
      </c>
      <c r="C10" s="41">
        <v>2643518.87</v>
      </c>
      <c r="D10" s="41" t="s">
        <v>176</v>
      </c>
    </row>
    <row r="11">
      <c r="A11" s="41" t="s">
        <v>143</v>
      </c>
      <c r="B11" s="41" t="s">
        <v>71</v>
      </c>
      <c r="C11" s="41">
        <v>3741553.36</v>
      </c>
      <c r="D11" s="41" t="s">
        <v>177</v>
      </c>
    </row>
    <row r="12">
      <c r="A12" s="41" t="s">
        <v>143</v>
      </c>
      <c r="B12" s="41" t="s">
        <v>73</v>
      </c>
      <c r="C12" s="41">
        <v>46332.87</v>
      </c>
      <c r="D12" s="41" t="s">
        <v>177</v>
      </c>
    </row>
    <row r="13">
      <c r="A13" s="41" t="s">
        <v>143</v>
      </c>
      <c r="B13" s="41" t="s">
        <v>74</v>
      </c>
      <c r="C13" s="41">
        <v>3787886.23</v>
      </c>
      <c r="D13" s="41" t="s">
        <v>177</v>
      </c>
    </row>
    <row r="14">
      <c r="A14" s="41" t="s">
        <v>105</v>
      </c>
      <c r="B14" s="41" t="s">
        <v>71</v>
      </c>
      <c r="C14" s="41">
        <v>1.310295492E7</v>
      </c>
      <c r="D14" s="41" t="s">
        <v>178</v>
      </c>
    </row>
    <row r="15">
      <c r="A15" s="41" t="s">
        <v>105</v>
      </c>
      <c r="B15" s="41" t="s">
        <v>73</v>
      </c>
      <c r="C15" s="41">
        <v>0.0</v>
      </c>
      <c r="D15" s="41" t="s">
        <v>178</v>
      </c>
    </row>
    <row r="16">
      <c r="A16" s="41" t="s">
        <v>105</v>
      </c>
      <c r="B16" s="41" t="s">
        <v>74</v>
      </c>
      <c r="C16" s="41">
        <v>1.310295492E7</v>
      </c>
      <c r="D16" s="41" t="s">
        <v>178</v>
      </c>
    </row>
    <row r="17">
      <c r="A17" s="41" t="s">
        <v>97</v>
      </c>
      <c r="B17" s="41" t="s">
        <v>71</v>
      </c>
      <c r="C17" s="41">
        <v>2616948.98</v>
      </c>
      <c r="D17" s="41" t="s">
        <v>179</v>
      </c>
    </row>
    <row r="18">
      <c r="A18" s="41" t="s">
        <v>97</v>
      </c>
      <c r="B18" s="41" t="s">
        <v>73</v>
      </c>
      <c r="C18" s="41">
        <v>12955.78</v>
      </c>
      <c r="D18" s="41" t="s">
        <v>179</v>
      </c>
    </row>
    <row r="19">
      <c r="A19" s="41" t="s">
        <v>97</v>
      </c>
      <c r="B19" s="41" t="s">
        <v>74</v>
      </c>
      <c r="C19" s="41">
        <v>2629904.76</v>
      </c>
      <c r="D19" s="41" t="s">
        <v>179</v>
      </c>
    </row>
    <row r="20">
      <c r="A20" s="41" t="s">
        <v>91</v>
      </c>
      <c r="B20" s="41" t="s">
        <v>71</v>
      </c>
      <c r="C20" s="41">
        <v>1537869.3</v>
      </c>
      <c r="D20" s="41" t="s">
        <v>180</v>
      </c>
    </row>
    <row r="21">
      <c r="A21" s="41" t="s">
        <v>91</v>
      </c>
      <c r="B21" s="41" t="s">
        <v>73</v>
      </c>
      <c r="C21" s="41">
        <v>21320.48</v>
      </c>
      <c r="D21" s="41" t="s">
        <v>180</v>
      </c>
    </row>
    <row r="22">
      <c r="A22" s="41" t="s">
        <v>91</v>
      </c>
      <c r="B22" s="41" t="s">
        <v>74</v>
      </c>
      <c r="C22" s="41">
        <v>1559189.78</v>
      </c>
      <c r="D22" s="41" t="s">
        <v>180</v>
      </c>
    </row>
    <row r="23">
      <c r="A23" s="41" t="s">
        <v>83</v>
      </c>
      <c r="B23" s="41" t="s">
        <v>71</v>
      </c>
      <c r="C23" s="41">
        <v>6007095.02</v>
      </c>
      <c r="D23" s="41" t="s">
        <v>181</v>
      </c>
    </row>
    <row r="24">
      <c r="A24" s="41" t="s">
        <v>83</v>
      </c>
      <c r="B24" s="41" t="s">
        <v>73</v>
      </c>
      <c r="C24" s="41">
        <v>0.0</v>
      </c>
      <c r="D24" s="41" t="s">
        <v>181</v>
      </c>
    </row>
    <row r="25">
      <c r="A25" s="41" t="s">
        <v>83</v>
      </c>
      <c r="B25" s="41" t="s">
        <v>74</v>
      </c>
      <c r="C25" s="41">
        <v>6007095.02</v>
      </c>
      <c r="D25" s="41" t="s">
        <v>181</v>
      </c>
    </row>
    <row r="26">
      <c r="A26" s="41" t="s">
        <v>138</v>
      </c>
      <c r="B26" s="41" t="s">
        <v>71</v>
      </c>
      <c r="C26" s="41">
        <v>1961033.35</v>
      </c>
      <c r="D26" s="41" t="s">
        <v>182</v>
      </c>
    </row>
    <row r="27">
      <c r="A27" s="41" t="s">
        <v>138</v>
      </c>
      <c r="B27" s="41" t="s">
        <v>73</v>
      </c>
      <c r="C27" s="41">
        <v>0.0</v>
      </c>
      <c r="D27" s="41" t="s">
        <v>182</v>
      </c>
    </row>
    <row r="28">
      <c r="A28" s="41" t="s">
        <v>138</v>
      </c>
      <c r="B28" s="41" t="s">
        <v>74</v>
      </c>
      <c r="C28" s="41">
        <v>1961033.35</v>
      </c>
      <c r="D28" s="41" t="s">
        <v>182</v>
      </c>
    </row>
    <row r="29">
      <c r="A29" s="41" t="s">
        <v>68</v>
      </c>
      <c r="B29" s="41" t="s">
        <v>71</v>
      </c>
      <c r="C29" s="41">
        <v>4861937.69</v>
      </c>
      <c r="D29" s="41" t="s">
        <v>183</v>
      </c>
    </row>
    <row r="30">
      <c r="A30" s="41" t="s">
        <v>68</v>
      </c>
      <c r="B30" s="41" t="s">
        <v>73</v>
      </c>
      <c r="C30" s="41">
        <v>241991.07</v>
      </c>
      <c r="D30" s="41" t="s">
        <v>183</v>
      </c>
    </row>
    <row r="31">
      <c r="A31" s="41" t="s">
        <v>68</v>
      </c>
      <c r="B31" s="41" t="s">
        <v>74</v>
      </c>
      <c r="C31" s="41">
        <v>5103928.76</v>
      </c>
      <c r="D31" s="41" t="s">
        <v>183</v>
      </c>
    </row>
    <row r="32">
      <c r="A32" s="41" t="s">
        <v>94</v>
      </c>
      <c r="B32" s="41" t="s">
        <v>71</v>
      </c>
      <c r="C32" s="41">
        <v>2965846.31</v>
      </c>
      <c r="D32" s="41" t="s">
        <v>184</v>
      </c>
    </row>
    <row r="33">
      <c r="A33" s="41" t="s">
        <v>94</v>
      </c>
      <c r="B33" s="41" t="s">
        <v>73</v>
      </c>
      <c r="C33" s="41">
        <v>60995.46</v>
      </c>
      <c r="D33" s="41" t="s">
        <v>184</v>
      </c>
    </row>
    <row r="34">
      <c r="A34" s="41" t="s">
        <v>94</v>
      </c>
      <c r="B34" s="41" t="s">
        <v>74</v>
      </c>
      <c r="C34" s="41">
        <v>3026841.77</v>
      </c>
      <c r="D34" s="41" t="s">
        <v>184</v>
      </c>
    </row>
    <row r="35">
      <c r="A35" s="41" t="s">
        <v>135</v>
      </c>
      <c r="B35" s="41" t="s">
        <v>71</v>
      </c>
      <c r="C35" s="41">
        <v>7222564.46</v>
      </c>
      <c r="D35" s="41" t="s">
        <v>185</v>
      </c>
    </row>
    <row r="36">
      <c r="A36" s="41" t="s">
        <v>135</v>
      </c>
      <c r="B36" s="41" t="s">
        <v>73</v>
      </c>
      <c r="C36" s="41">
        <v>0.0</v>
      </c>
      <c r="D36" s="41" t="s">
        <v>185</v>
      </c>
    </row>
    <row r="37">
      <c r="A37" s="41" t="s">
        <v>135</v>
      </c>
      <c r="B37" s="41" t="s">
        <v>74</v>
      </c>
      <c r="C37" s="41">
        <v>7222564.46</v>
      </c>
      <c r="D37" s="41" t="s">
        <v>185</v>
      </c>
    </row>
    <row r="38">
      <c r="A38" s="41" t="s">
        <v>101</v>
      </c>
      <c r="B38" s="41" t="s">
        <v>71</v>
      </c>
      <c r="C38" s="41">
        <v>4490253.3</v>
      </c>
      <c r="D38" s="41" t="s">
        <v>186</v>
      </c>
    </row>
    <row r="39">
      <c r="A39" s="41" t="s">
        <v>101</v>
      </c>
      <c r="B39" s="41" t="s">
        <v>73</v>
      </c>
      <c r="C39" s="41">
        <v>19723.55</v>
      </c>
      <c r="D39" s="41" t="s">
        <v>186</v>
      </c>
    </row>
    <row r="40">
      <c r="A40" s="41" t="s">
        <v>101</v>
      </c>
      <c r="B40" s="41" t="s">
        <v>74</v>
      </c>
      <c r="C40" s="41">
        <v>4509976.85</v>
      </c>
      <c r="D40" s="41" t="s">
        <v>186</v>
      </c>
    </row>
    <row r="41">
      <c r="A41" s="41" t="s">
        <v>95</v>
      </c>
      <c r="B41" s="41" t="s">
        <v>71</v>
      </c>
      <c r="C41" s="41">
        <v>3347873.39</v>
      </c>
      <c r="D41" s="41" t="s">
        <v>187</v>
      </c>
    </row>
    <row r="42">
      <c r="A42" s="41" t="s">
        <v>95</v>
      </c>
      <c r="B42" s="41" t="s">
        <v>73</v>
      </c>
      <c r="C42" s="41">
        <v>0.0</v>
      </c>
      <c r="D42" s="41" t="s">
        <v>187</v>
      </c>
    </row>
    <row r="43">
      <c r="A43" s="41" t="s">
        <v>95</v>
      </c>
      <c r="B43" s="41" t="s">
        <v>74</v>
      </c>
      <c r="C43" s="41">
        <v>3347873.39</v>
      </c>
      <c r="D43" s="41" t="s">
        <v>187</v>
      </c>
    </row>
    <row r="44">
      <c r="A44" s="41" t="s">
        <v>106</v>
      </c>
      <c r="B44" s="41" t="s">
        <v>71</v>
      </c>
      <c r="C44" s="41">
        <v>4478561.2</v>
      </c>
      <c r="D44" s="41" t="s">
        <v>188</v>
      </c>
    </row>
    <row r="45">
      <c r="A45" s="41" t="s">
        <v>106</v>
      </c>
      <c r="B45" s="41" t="s">
        <v>73</v>
      </c>
      <c r="C45" s="41">
        <v>0.0</v>
      </c>
      <c r="D45" s="41" t="s">
        <v>188</v>
      </c>
    </row>
    <row r="46">
      <c r="A46" s="41" t="s">
        <v>106</v>
      </c>
      <c r="B46" s="41" t="s">
        <v>74</v>
      </c>
      <c r="C46" s="41">
        <v>4478561.2</v>
      </c>
      <c r="D46" s="41" t="s">
        <v>188</v>
      </c>
    </row>
    <row r="47">
      <c r="A47" s="41" t="s">
        <v>90</v>
      </c>
      <c r="B47" s="41" t="s">
        <v>71</v>
      </c>
      <c r="C47" s="41">
        <v>3416856.3</v>
      </c>
      <c r="D47" s="41" t="s">
        <v>189</v>
      </c>
    </row>
    <row r="48">
      <c r="A48" s="41" t="s">
        <v>90</v>
      </c>
      <c r="B48" s="41" t="s">
        <v>73</v>
      </c>
      <c r="C48" s="41">
        <v>18548.86</v>
      </c>
      <c r="D48" s="41" t="s">
        <v>189</v>
      </c>
    </row>
    <row r="49">
      <c r="A49" s="41" t="s">
        <v>90</v>
      </c>
      <c r="B49" s="41" t="s">
        <v>74</v>
      </c>
      <c r="C49" s="41">
        <v>3435405.16</v>
      </c>
      <c r="D49" s="41" t="s">
        <v>189</v>
      </c>
    </row>
    <row r="50">
      <c r="A50" s="41" t="s">
        <v>78</v>
      </c>
      <c r="B50" s="41" t="s">
        <v>71</v>
      </c>
      <c r="C50" s="41">
        <v>4058738.19</v>
      </c>
      <c r="D50" s="41" t="s">
        <v>190</v>
      </c>
    </row>
    <row r="51">
      <c r="A51" s="41" t="s">
        <v>78</v>
      </c>
      <c r="B51" s="41" t="s">
        <v>73</v>
      </c>
      <c r="C51" s="41">
        <v>49606.16</v>
      </c>
      <c r="D51" s="41" t="s">
        <v>190</v>
      </c>
    </row>
    <row r="52">
      <c r="A52" s="41" t="s">
        <v>78</v>
      </c>
      <c r="B52" s="41" t="s">
        <v>74</v>
      </c>
      <c r="C52" s="41">
        <v>4108344.35</v>
      </c>
      <c r="D52" s="41" t="s">
        <v>190</v>
      </c>
    </row>
    <row r="53">
      <c r="A53" s="41" t="s">
        <v>103</v>
      </c>
      <c r="B53" s="41" t="s">
        <v>71</v>
      </c>
      <c r="C53" s="41">
        <v>2098339.84</v>
      </c>
      <c r="D53" s="41" t="s">
        <v>191</v>
      </c>
    </row>
    <row r="54">
      <c r="A54" s="41" t="s">
        <v>103</v>
      </c>
      <c r="B54" s="41" t="s">
        <v>73</v>
      </c>
      <c r="C54" s="41">
        <v>0.0</v>
      </c>
      <c r="D54" s="41" t="s">
        <v>191</v>
      </c>
    </row>
    <row r="55">
      <c r="A55" s="41" t="s">
        <v>103</v>
      </c>
      <c r="B55" s="41" t="s">
        <v>74</v>
      </c>
      <c r="C55" s="41">
        <v>2098339.84</v>
      </c>
      <c r="D55" s="41" t="s">
        <v>191</v>
      </c>
    </row>
    <row r="56">
      <c r="A56" s="41" t="s">
        <v>88</v>
      </c>
      <c r="B56" s="41" t="s">
        <v>71</v>
      </c>
      <c r="C56" s="41">
        <v>2586674.1</v>
      </c>
      <c r="D56" s="41" t="s">
        <v>192</v>
      </c>
    </row>
    <row r="57">
      <c r="A57" s="41" t="s">
        <v>88</v>
      </c>
      <c r="B57" s="41" t="s">
        <v>73</v>
      </c>
      <c r="C57" s="41">
        <v>33127.11</v>
      </c>
      <c r="D57" s="41" t="s">
        <v>192</v>
      </c>
    </row>
    <row r="58">
      <c r="A58" s="41" t="s">
        <v>88</v>
      </c>
      <c r="B58" s="41" t="s">
        <v>74</v>
      </c>
      <c r="C58" s="41">
        <v>2619801.21</v>
      </c>
      <c r="D58" s="41" t="s">
        <v>192</v>
      </c>
    </row>
    <row r="59">
      <c r="A59" s="41" t="s">
        <v>87</v>
      </c>
      <c r="B59" s="41" t="s">
        <v>71</v>
      </c>
      <c r="C59" s="41">
        <v>1.478722726E7</v>
      </c>
      <c r="D59" s="41" t="s">
        <v>193</v>
      </c>
    </row>
    <row r="60">
      <c r="A60" s="41" t="s">
        <v>87</v>
      </c>
      <c r="B60" s="41" t="s">
        <v>73</v>
      </c>
      <c r="C60" s="41">
        <v>374604.73</v>
      </c>
      <c r="D60" s="41" t="s">
        <v>193</v>
      </c>
    </row>
    <row r="61">
      <c r="A61" s="41" t="s">
        <v>87</v>
      </c>
      <c r="B61" s="41" t="s">
        <v>74</v>
      </c>
      <c r="C61" s="41">
        <v>1.516183199E7</v>
      </c>
      <c r="D61" s="41" t="s">
        <v>193</v>
      </c>
    </row>
    <row r="62">
      <c r="A62" s="41" t="s">
        <v>128</v>
      </c>
      <c r="B62" s="41" t="s">
        <v>71</v>
      </c>
      <c r="C62" s="41">
        <v>5.510003997E7</v>
      </c>
      <c r="D62" s="41" t="s">
        <v>194</v>
      </c>
    </row>
    <row r="63">
      <c r="A63" s="41" t="s">
        <v>128</v>
      </c>
      <c r="B63" s="41" t="s">
        <v>73</v>
      </c>
      <c r="C63" s="41">
        <v>0.0</v>
      </c>
      <c r="D63" s="41" t="s">
        <v>194</v>
      </c>
    </row>
    <row r="64">
      <c r="A64" s="41" t="s">
        <v>128</v>
      </c>
      <c r="B64" s="41" t="s">
        <v>74</v>
      </c>
      <c r="C64" s="41">
        <v>5.510003997E7</v>
      </c>
      <c r="D64" s="41" t="s">
        <v>194</v>
      </c>
    </row>
    <row r="65">
      <c r="A65" s="41" t="s">
        <v>126</v>
      </c>
      <c r="B65" s="41" t="s">
        <v>71</v>
      </c>
      <c r="C65" s="41">
        <v>6243005.96</v>
      </c>
      <c r="D65" s="41" t="s">
        <v>195</v>
      </c>
    </row>
    <row r="66">
      <c r="A66" s="41" t="s">
        <v>126</v>
      </c>
      <c r="B66" s="41" t="s">
        <v>73</v>
      </c>
      <c r="C66" s="41">
        <v>0.0</v>
      </c>
      <c r="D66" s="41" t="s">
        <v>195</v>
      </c>
    </row>
    <row r="67">
      <c r="A67" s="41" t="s">
        <v>126</v>
      </c>
      <c r="B67" s="41" t="s">
        <v>74</v>
      </c>
      <c r="C67" s="41">
        <v>6243005.96</v>
      </c>
      <c r="D67" s="41" t="s">
        <v>195</v>
      </c>
    </row>
    <row r="68">
      <c r="A68" s="41" t="s">
        <v>196</v>
      </c>
      <c r="B68" s="41" t="s">
        <v>71</v>
      </c>
      <c r="C68" s="41">
        <v>9.429462134E7</v>
      </c>
      <c r="D68" s="41" t="s">
        <v>197</v>
      </c>
    </row>
    <row r="69">
      <c r="A69" s="41" t="s">
        <v>196</v>
      </c>
      <c r="B69" s="41" t="s">
        <v>73</v>
      </c>
      <c r="C69" s="41">
        <v>0.0</v>
      </c>
      <c r="D69" s="41" t="s">
        <v>197</v>
      </c>
    </row>
    <row r="70">
      <c r="A70" s="41" t="s">
        <v>196</v>
      </c>
      <c r="B70" s="41" t="s">
        <v>74</v>
      </c>
      <c r="C70" s="41">
        <v>9.429462134E7</v>
      </c>
      <c r="D70" s="41" t="s">
        <v>197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2.71"/>
    <col customWidth="1" min="6" max="6" width="69.57"/>
    <col customWidth="1" min="7" max="7" width="23.0"/>
    <col customWidth="1" min="8" max="8" width="25.29"/>
    <col customWidth="1" min="9" max="9" width="20.0"/>
    <col customWidth="1" min="10" max="10" width="30.43"/>
  </cols>
  <sheetData>
    <row r="1">
      <c r="F1" s="66"/>
      <c r="G1" s="66"/>
      <c r="H1" s="66"/>
      <c r="I1" s="66"/>
      <c r="J1" s="66"/>
    </row>
    <row r="2">
      <c r="E2" s="168"/>
      <c r="F2" s="169"/>
      <c r="G2" s="170" t="s">
        <v>198</v>
      </c>
      <c r="H2" s="171"/>
      <c r="I2" s="170" t="s">
        <v>199</v>
      </c>
      <c r="J2" s="171"/>
    </row>
    <row r="3">
      <c r="E3" s="168"/>
      <c r="F3" s="172" t="s">
        <v>200</v>
      </c>
      <c r="G3" s="172" t="s">
        <v>201</v>
      </c>
      <c r="H3" s="172" t="s">
        <v>202</v>
      </c>
      <c r="I3" s="172" t="s">
        <v>201</v>
      </c>
      <c r="J3" s="172" t="s">
        <v>202</v>
      </c>
    </row>
    <row r="4">
      <c r="E4" s="173" t="s">
        <v>71</v>
      </c>
      <c r="F4" s="174" t="s">
        <v>203</v>
      </c>
      <c r="G4" s="174">
        <v>2.8150508E7</v>
      </c>
      <c r="H4" s="174" t="s">
        <v>144</v>
      </c>
      <c r="I4" s="174">
        <v>2.8150508E7</v>
      </c>
      <c r="J4" s="174" t="s">
        <v>204</v>
      </c>
    </row>
    <row r="5">
      <c r="E5" s="173" t="s">
        <v>73</v>
      </c>
      <c r="F5" s="174" t="s">
        <v>203</v>
      </c>
      <c r="G5" s="174">
        <v>2.8150502E7</v>
      </c>
      <c r="H5" s="174" t="s">
        <v>144</v>
      </c>
      <c r="I5" s="174">
        <v>2.8150508E7</v>
      </c>
      <c r="J5" s="174" t="s">
        <v>204</v>
      </c>
    </row>
    <row r="6">
      <c r="E6" s="173" t="s">
        <v>80</v>
      </c>
      <c r="F6" s="174" t="s">
        <v>203</v>
      </c>
      <c r="G6" s="174">
        <v>2.8150508E7</v>
      </c>
      <c r="H6" s="174" t="s">
        <v>204</v>
      </c>
      <c r="I6" s="174">
        <v>1.3050505E7</v>
      </c>
      <c r="J6" s="174" t="s">
        <v>144</v>
      </c>
    </row>
    <row r="7">
      <c r="E7" s="173" t="s">
        <v>100</v>
      </c>
      <c r="F7" s="174" t="s">
        <v>203</v>
      </c>
      <c r="G7" s="174">
        <v>2.8150508E7</v>
      </c>
      <c r="H7" s="174" t="s">
        <v>204</v>
      </c>
      <c r="I7" s="174">
        <v>1.3050505E7</v>
      </c>
      <c r="J7" s="174" t="s">
        <v>144</v>
      </c>
    </row>
  </sheetData>
  <mergeCells count="2">
    <mergeCell ref="G2:H2"/>
    <mergeCell ref="I2:J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14"/>
  </cols>
  <sheetData>
    <row r="1">
      <c r="A1" s="175" t="s">
        <v>52</v>
      </c>
      <c r="B1" s="175" t="s">
        <v>57</v>
      </c>
      <c r="C1" s="176" t="s">
        <v>58</v>
      </c>
      <c r="D1" s="175" t="s">
        <v>59</v>
      </c>
    </row>
    <row r="2">
      <c r="A2" s="177" t="s">
        <v>98</v>
      </c>
      <c r="B2" s="177" t="s">
        <v>71</v>
      </c>
      <c r="C2" s="178">
        <v>2150266.0</v>
      </c>
      <c r="D2" s="177" t="s">
        <v>205</v>
      </c>
    </row>
    <row r="3">
      <c r="A3" s="177" t="s">
        <v>98</v>
      </c>
      <c r="B3" s="177" t="s">
        <v>73</v>
      </c>
      <c r="C3" s="178">
        <v>0.0</v>
      </c>
      <c r="D3" s="177" t="s">
        <v>205</v>
      </c>
    </row>
    <row r="4">
      <c r="A4" s="177" t="s">
        <v>98</v>
      </c>
      <c r="B4" s="177" t="s">
        <v>74</v>
      </c>
      <c r="C4" s="178">
        <v>2150266.0</v>
      </c>
      <c r="D4" s="177" t="s">
        <v>205</v>
      </c>
    </row>
    <row r="5">
      <c r="A5" s="177" t="s">
        <v>89</v>
      </c>
      <c r="B5" s="177" t="s">
        <v>71</v>
      </c>
      <c r="C5" s="178">
        <v>1992216.0</v>
      </c>
      <c r="D5" s="177" t="s">
        <v>206</v>
      </c>
    </row>
    <row r="6">
      <c r="A6" s="177" t="s">
        <v>89</v>
      </c>
      <c r="B6" s="177" t="s">
        <v>73</v>
      </c>
      <c r="C6" s="178">
        <v>367512.7</v>
      </c>
      <c r="D6" s="177" t="s">
        <v>206</v>
      </c>
    </row>
    <row r="7">
      <c r="A7" s="177" t="s">
        <v>89</v>
      </c>
      <c r="B7" s="177" t="s">
        <v>74</v>
      </c>
      <c r="C7" s="178">
        <v>2359728.0</v>
      </c>
      <c r="D7" s="177" t="s">
        <v>206</v>
      </c>
    </row>
    <row r="8">
      <c r="A8" s="177" t="s">
        <v>85</v>
      </c>
      <c r="B8" s="177" t="s">
        <v>71</v>
      </c>
      <c r="C8" s="178">
        <v>2244451.0</v>
      </c>
      <c r="D8" s="177" t="s">
        <v>207</v>
      </c>
    </row>
    <row r="9">
      <c r="A9" s="177" t="s">
        <v>85</v>
      </c>
      <c r="B9" s="177" t="s">
        <v>73</v>
      </c>
      <c r="C9" s="178">
        <v>53672.5</v>
      </c>
      <c r="D9" s="177" t="s">
        <v>207</v>
      </c>
    </row>
    <row r="10">
      <c r="A10" s="177" t="s">
        <v>85</v>
      </c>
      <c r="B10" s="177" t="s">
        <v>74</v>
      </c>
      <c r="C10" s="178">
        <v>2298124.0</v>
      </c>
      <c r="D10" s="177" t="s">
        <v>207</v>
      </c>
    </row>
    <row r="11">
      <c r="A11" s="177" t="s">
        <v>143</v>
      </c>
      <c r="B11" s="177" t="s">
        <v>71</v>
      </c>
      <c r="C11" s="178">
        <v>2605612.0</v>
      </c>
      <c r="D11" s="177" t="s">
        <v>208</v>
      </c>
    </row>
    <row r="12">
      <c r="A12" s="177" t="s">
        <v>143</v>
      </c>
      <c r="B12" s="177" t="s">
        <v>73</v>
      </c>
      <c r="C12" s="178">
        <v>29819.04</v>
      </c>
      <c r="D12" s="177" t="s">
        <v>208</v>
      </c>
    </row>
    <row r="13">
      <c r="A13" s="177" t="s">
        <v>143</v>
      </c>
      <c r="B13" s="177" t="s">
        <v>74</v>
      </c>
      <c r="C13" s="178">
        <v>2635431.0</v>
      </c>
      <c r="D13" s="177" t="s">
        <v>208</v>
      </c>
    </row>
    <row r="14">
      <c r="A14" s="177" t="s">
        <v>105</v>
      </c>
      <c r="B14" s="177" t="s">
        <v>71</v>
      </c>
      <c r="C14" s="178">
        <v>1.1034808E7</v>
      </c>
      <c r="D14" s="177" t="s">
        <v>209</v>
      </c>
    </row>
    <row r="15">
      <c r="A15" s="177" t="s">
        <v>105</v>
      </c>
      <c r="B15" s="177" t="s">
        <v>73</v>
      </c>
      <c r="C15" s="178">
        <v>0.0</v>
      </c>
      <c r="D15" s="177" t="s">
        <v>209</v>
      </c>
    </row>
    <row r="16">
      <c r="A16" s="177" t="s">
        <v>105</v>
      </c>
      <c r="B16" s="177" t="s">
        <v>74</v>
      </c>
      <c r="C16" s="178">
        <v>1.1034808E7</v>
      </c>
      <c r="D16" s="177" t="s">
        <v>209</v>
      </c>
    </row>
    <row r="17">
      <c r="A17" s="177" t="s">
        <v>97</v>
      </c>
      <c r="B17" s="177" t="s">
        <v>71</v>
      </c>
      <c r="C17" s="178">
        <v>798603.0</v>
      </c>
      <c r="D17" s="177" t="s">
        <v>210</v>
      </c>
    </row>
    <row r="18">
      <c r="A18" s="177" t="s">
        <v>97</v>
      </c>
      <c r="B18" s="177" t="s">
        <v>73</v>
      </c>
      <c r="C18" s="178">
        <v>2186.18</v>
      </c>
      <c r="D18" s="177" t="s">
        <v>210</v>
      </c>
    </row>
    <row r="19">
      <c r="A19" s="177" t="s">
        <v>97</v>
      </c>
      <c r="B19" s="177" t="s">
        <v>74</v>
      </c>
      <c r="C19" s="178">
        <v>800789.2</v>
      </c>
      <c r="D19" s="177" t="s">
        <v>210</v>
      </c>
    </row>
    <row r="20">
      <c r="A20" s="177" t="s">
        <v>91</v>
      </c>
      <c r="B20" s="177" t="s">
        <v>71</v>
      </c>
      <c r="C20" s="178">
        <v>1464854.0</v>
      </c>
      <c r="D20" s="177" t="s">
        <v>211</v>
      </c>
    </row>
    <row r="21">
      <c r="A21" s="177" t="s">
        <v>91</v>
      </c>
      <c r="B21" s="177" t="s">
        <v>73</v>
      </c>
      <c r="C21" s="178">
        <v>35938.05</v>
      </c>
      <c r="D21" s="177" t="s">
        <v>211</v>
      </c>
    </row>
    <row r="22">
      <c r="A22" s="177" t="s">
        <v>91</v>
      </c>
      <c r="B22" s="177" t="s">
        <v>74</v>
      </c>
      <c r="C22" s="178">
        <v>1500792.0</v>
      </c>
      <c r="D22" s="177" t="s">
        <v>211</v>
      </c>
    </row>
    <row r="23">
      <c r="A23" s="177" t="s">
        <v>83</v>
      </c>
      <c r="B23" s="177" t="s">
        <v>71</v>
      </c>
      <c r="C23" s="178">
        <v>4271092.0</v>
      </c>
      <c r="D23" s="177" t="s">
        <v>212</v>
      </c>
    </row>
    <row r="24">
      <c r="A24" s="177" t="s">
        <v>83</v>
      </c>
      <c r="B24" s="177" t="s">
        <v>73</v>
      </c>
      <c r="C24" s="178">
        <v>0.0</v>
      </c>
      <c r="D24" s="177" t="s">
        <v>212</v>
      </c>
    </row>
    <row r="25">
      <c r="A25" s="177" t="s">
        <v>83</v>
      </c>
      <c r="B25" s="177" t="s">
        <v>74</v>
      </c>
      <c r="C25" s="178">
        <v>4271092.0</v>
      </c>
      <c r="D25" s="177" t="s">
        <v>212</v>
      </c>
    </row>
    <row r="26">
      <c r="A26" s="177" t="s">
        <v>138</v>
      </c>
      <c r="B26" s="177" t="s">
        <v>71</v>
      </c>
      <c r="C26" s="178">
        <v>1493894.0</v>
      </c>
      <c r="D26" s="177" t="s">
        <v>213</v>
      </c>
    </row>
    <row r="27">
      <c r="A27" s="177" t="s">
        <v>138</v>
      </c>
      <c r="B27" s="177" t="s">
        <v>73</v>
      </c>
      <c r="C27" s="178">
        <v>0.0</v>
      </c>
      <c r="D27" s="177" t="s">
        <v>213</v>
      </c>
    </row>
    <row r="28">
      <c r="A28" s="177" t="s">
        <v>138</v>
      </c>
      <c r="B28" s="177" t="s">
        <v>74</v>
      </c>
      <c r="C28" s="178">
        <v>1493894.0</v>
      </c>
      <c r="D28" s="177" t="s">
        <v>213</v>
      </c>
    </row>
    <row r="29">
      <c r="A29" s="177" t="s">
        <v>68</v>
      </c>
      <c r="B29" s="177" t="s">
        <v>71</v>
      </c>
      <c r="C29" s="178">
        <v>3765456.0</v>
      </c>
      <c r="D29" s="177" t="s">
        <v>214</v>
      </c>
    </row>
    <row r="30">
      <c r="A30" s="177" t="s">
        <v>68</v>
      </c>
      <c r="B30" s="177" t="s">
        <v>73</v>
      </c>
      <c r="C30" s="178">
        <v>153874.2</v>
      </c>
      <c r="D30" s="177" t="s">
        <v>214</v>
      </c>
    </row>
    <row r="31">
      <c r="A31" s="177" t="s">
        <v>68</v>
      </c>
      <c r="B31" s="177" t="s">
        <v>74</v>
      </c>
      <c r="C31" s="178">
        <v>3919330.0</v>
      </c>
      <c r="D31" s="177" t="s">
        <v>214</v>
      </c>
    </row>
    <row r="32">
      <c r="A32" s="177" t="s">
        <v>94</v>
      </c>
      <c r="B32" s="177" t="s">
        <v>71</v>
      </c>
      <c r="C32" s="178">
        <v>2821205.0</v>
      </c>
      <c r="D32" s="177" t="s">
        <v>215</v>
      </c>
    </row>
    <row r="33">
      <c r="A33" s="177" t="s">
        <v>94</v>
      </c>
      <c r="B33" s="177" t="s">
        <v>73</v>
      </c>
      <c r="C33" s="178">
        <v>61201.09</v>
      </c>
      <c r="D33" s="177" t="s">
        <v>215</v>
      </c>
    </row>
    <row r="34">
      <c r="A34" s="177" t="s">
        <v>94</v>
      </c>
      <c r="B34" s="177" t="s">
        <v>74</v>
      </c>
      <c r="C34" s="178">
        <v>2882406.0</v>
      </c>
      <c r="D34" s="177" t="s">
        <v>215</v>
      </c>
    </row>
    <row r="35">
      <c r="A35" s="177" t="s">
        <v>135</v>
      </c>
      <c r="B35" s="177" t="s">
        <v>71</v>
      </c>
      <c r="C35" s="178">
        <v>4884847.0</v>
      </c>
      <c r="D35" s="177" t="s">
        <v>216</v>
      </c>
    </row>
    <row r="36">
      <c r="A36" s="177" t="s">
        <v>135</v>
      </c>
      <c r="B36" s="177" t="s">
        <v>73</v>
      </c>
      <c r="C36" s="178">
        <v>3515.89</v>
      </c>
      <c r="D36" s="177" t="s">
        <v>216</v>
      </c>
    </row>
    <row r="37">
      <c r="A37" s="177" t="s">
        <v>135</v>
      </c>
      <c r="B37" s="177" t="s">
        <v>74</v>
      </c>
      <c r="C37" s="178">
        <v>4888363.0</v>
      </c>
      <c r="D37" s="177" t="s">
        <v>216</v>
      </c>
    </row>
    <row r="38">
      <c r="A38" s="177" t="s">
        <v>88</v>
      </c>
      <c r="B38" s="177" t="s">
        <v>71</v>
      </c>
      <c r="C38" s="178">
        <v>1609725.0</v>
      </c>
      <c r="D38" s="177" t="s">
        <v>217</v>
      </c>
    </row>
    <row r="39">
      <c r="A39" s="177" t="s">
        <v>88</v>
      </c>
      <c r="B39" s="177" t="s">
        <v>73</v>
      </c>
      <c r="C39" s="178">
        <v>20928.27</v>
      </c>
      <c r="D39" s="177" t="s">
        <v>217</v>
      </c>
    </row>
    <row r="40">
      <c r="A40" s="177" t="s">
        <v>88</v>
      </c>
      <c r="B40" s="177" t="s">
        <v>74</v>
      </c>
      <c r="C40" s="178">
        <v>1630653.0</v>
      </c>
      <c r="D40" s="177" t="s">
        <v>217</v>
      </c>
    </row>
    <row r="41">
      <c r="A41" s="177" t="s">
        <v>101</v>
      </c>
      <c r="B41" s="177" t="s">
        <v>71</v>
      </c>
      <c r="C41" s="178">
        <v>3438237.0</v>
      </c>
      <c r="D41" s="177" t="s">
        <v>218</v>
      </c>
    </row>
    <row r="42">
      <c r="A42" s="177" t="s">
        <v>101</v>
      </c>
      <c r="B42" s="177" t="s">
        <v>73</v>
      </c>
      <c r="C42" s="178">
        <v>4258.39</v>
      </c>
      <c r="D42" s="177" t="s">
        <v>218</v>
      </c>
    </row>
    <row r="43">
      <c r="A43" s="177" t="s">
        <v>101</v>
      </c>
      <c r="B43" s="177" t="s">
        <v>74</v>
      </c>
      <c r="C43" s="178">
        <v>3442495.0</v>
      </c>
      <c r="D43" s="177" t="s">
        <v>218</v>
      </c>
    </row>
    <row r="44">
      <c r="A44" s="177" t="s">
        <v>95</v>
      </c>
      <c r="B44" s="177" t="s">
        <v>71</v>
      </c>
      <c r="C44" s="178">
        <v>2046666.0</v>
      </c>
      <c r="D44" s="177" t="s">
        <v>219</v>
      </c>
    </row>
    <row r="45">
      <c r="A45" s="177" t="s">
        <v>95</v>
      </c>
      <c r="B45" s="177" t="s">
        <v>73</v>
      </c>
      <c r="C45" s="178">
        <v>0.0</v>
      </c>
      <c r="D45" s="177" t="s">
        <v>219</v>
      </c>
    </row>
    <row r="46">
      <c r="A46" s="177" t="s">
        <v>95</v>
      </c>
      <c r="B46" s="177" t="s">
        <v>74</v>
      </c>
      <c r="C46" s="178">
        <v>2046666.0</v>
      </c>
      <c r="D46" s="177" t="s">
        <v>219</v>
      </c>
    </row>
    <row r="47">
      <c r="A47" s="177" t="s">
        <v>106</v>
      </c>
      <c r="B47" s="177" t="s">
        <v>71</v>
      </c>
      <c r="C47" s="178">
        <v>4124621.0</v>
      </c>
      <c r="D47" s="177" t="s">
        <v>220</v>
      </c>
    </row>
    <row r="48">
      <c r="A48" s="177" t="s">
        <v>106</v>
      </c>
      <c r="B48" s="177" t="s">
        <v>73</v>
      </c>
      <c r="C48" s="178">
        <v>0.0</v>
      </c>
      <c r="D48" s="177" t="s">
        <v>220</v>
      </c>
    </row>
    <row r="49">
      <c r="A49" s="177" t="s">
        <v>106</v>
      </c>
      <c r="B49" s="177" t="s">
        <v>74</v>
      </c>
      <c r="C49" s="178">
        <v>4124621.0</v>
      </c>
      <c r="D49" s="177" t="s">
        <v>220</v>
      </c>
    </row>
    <row r="50">
      <c r="A50" s="177" t="s">
        <v>90</v>
      </c>
      <c r="B50" s="177" t="s">
        <v>71</v>
      </c>
      <c r="C50" s="178">
        <v>2485290.0</v>
      </c>
      <c r="D50" s="177" t="s">
        <v>221</v>
      </c>
    </row>
    <row r="51">
      <c r="A51" s="177" t="s">
        <v>90</v>
      </c>
      <c r="B51" s="177" t="s">
        <v>73</v>
      </c>
      <c r="C51" s="178">
        <v>3261.19</v>
      </c>
      <c r="D51" s="177" t="s">
        <v>221</v>
      </c>
    </row>
    <row r="52">
      <c r="A52" s="177" t="s">
        <v>90</v>
      </c>
      <c r="B52" s="177" t="s">
        <v>74</v>
      </c>
      <c r="C52" s="178">
        <v>2488552.0</v>
      </c>
      <c r="D52" s="177" t="s">
        <v>221</v>
      </c>
    </row>
    <row r="53">
      <c r="A53" s="177" t="s">
        <v>78</v>
      </c>
      <c r="B53" s="177" t="s">
        <v>71</v>
      </c>
      <c r="C53" s="178">
        <v>3089496.0</v>
      </c>
      <c r="D53" s="177" t="s">
        <v>222</v>
      </c>
    </row>
    <row r="54">
      <c r="A54" s="177" t="s">
        <v>78</v>
      </c>
      <c r="B54" s="177" t="s">
        <v>73</v>
      </c>
      <c r="C54" s="178">
        <v>15425.21</v>
      </c>
      <c r="D54" s="177" t="s">
        <v>222</v>
      </c>
    </row>
    <row r="55">
      <c r="A55" s="177" t="s">
        <v>78</v>
      </c>
      <c r="B55" s="177" t="s">
        <v>74</v>
      </c>
      <c r="C55" s="178">
        <v>3104921.0</v>
      </c>
      <c r="D55" s="177" t="s">
        <v>222</v>
      </c>
    </row>
    <row r="56">
      <c r="A56" s="177" t="s">
        <v>103</v>
      </c>
      <c r="B56" s="177" t="s">
        <v>71</v>
      </c>
      <c r="C56" s="178">
        <v>2200048.0</v>
      </c>
      <c r="D56" s="177" t="s">
        <v>223</v>
      </c>
    </row>
    <row r="57">
      <c r="A57" s="177" t="s">
        <v>103</v>
      </c>
      <c r="B57" s="177" t="s">
        <v>73</v>
      </c>
      <c r="C57" s="178">
        <v>2118.0</v>
      </c>
      <c r="D57" s="177" t="s">
        <v>223</v>
      </c>
    </row>
    <row r="58">
      <c r="A58" s="177" t="s">
        <v>103</v>
      </c>
      <c r="B58" s="177" t="s">
        <v>74</v>
      </c>
      <c r="C58" s="178">
        <v>2202166.0</v>
      </c>
      <c r="D58" s="177" t="s">
        <v>223</v>
      </c>
    </row>
    <row r="59">
      <c r="A59" s="177" t="s">
        <v>126</v>
      </c>
      <c r="B59" s="177" t="s">
        <v>71</v>
      </c>
      <c r="C59" s="178">
        <v>4594850.0</v>
      </c>
      <c r="D59" s="177" t="s">
        <v>224</v>
      </c>
    </row>
    <row r="60">
      <c r="A60" s="177" t="s">
        <v>126</v>
      </c>
      <c r="B60" s="177" t="s">
        <v>73</v>
      </c>
      <c r="C60" s="178">
        <v>0.0</v>
      </c>
      <c r="D60" s="177" t="s">
        <v>224</v>
      </c>
    </row>
    <row r="61">
      <c r="A61" s="177" t="s">
        <v>126</v>
      </c>
      <c r="B61" s="177" t="s">
        <v>74</v>
      </c>
      <c r="C61" s="178">
        <v>4594850.0</v>
      </c>
      <c r="D61" s="177" t="s">
        <v>224</v>
      </c>
    </row>
    <row r="62">
      <c r="A62" s="177" t="s">
        <v>128</v>
      </c>
      <c r="B62" s="177" t="s">
        <v>71</v>
      </c>
      <c r="C62" s="178">
        <v>4.546802E7</v>
      </c>
      <c r="D62" s="177" t="s">
        <v>225</v>
      </c>
    </row>
    <row r="63">
      <c r="A63" s="177" t="s">
        <v>128</v>
      </c>
      <c r="B63" s="177" t="s">
        <v>73</v>
      </c>
      <c r="C63" s="178">
        <v>0.0</v>
      </c>
      <c r="D63" s="177" t="s">
        <v>225</v>
      </c>
    </row>
    <row r="64">
      <c r="A64" s="177" t="s">
        <v>128</v>
      </c>
      <c r="B64" s="177" t="s">
        <v>74</v>
      </c>
      <c r="C64" s="178">
        <v>4.546802E7</v>
      </c>
      <c r="D64" s="177" t="s">
        <v>225</v>
      </c>
    </row>
    <row r="65">
      <c r="A65" s="41" t="s">
        <v>87</v>
      </c>
      <c r="B65" s="41" t="s">
        <v>71</v>
      </c>
      <c r="C65" s="44">
        <v>1.156170447E7</v>
      </c>
      <c r="D65" s="41" t="s">
        <v>226</v>
      </c>
    </row>
    <row r="66">
      <c r="A66" s="41" t="s">
        <v>87</v>
      </c>
      <c r="B66" s="41" t="s">
        <v>73</v>
      </c>
      <c r="C66" s="44">
        <v>171219.46</v>
      </c>
      <c r="D66" s="41" t="s">
        <v>226</v>
      </c>
    </row>
    <row r="67">
      <c r="A67" s="41" t="s">
        <v>87</v>
      </c>
      <c r="B67" s="41" t="s">
        <v>74</v>
      </c>
      <c r="C67" s="44">
        <f>C65+C66</f>
        <v>11732923.93</v>
      </c>
      <c r="D67" s="41" t="s">
        <v>226</v>
      </c>
    </row>
    <row r="68">
      <c r="C68" s="117"/>
    </row>
    <row r="69">
      <c r="C69" s="117"/>
    </row>
    <row r="70">
      <c r="C70" s="117"/>
    </row>
    <row r="71">
      <c r="C71" s="117"/>
    </row>
    <row r="72">
      <c r="C72" s="117"/>
    </row>
    <row r="73">
      <c r="C73" s="117"/>
    </row>
    <row r="74">
      <c r="C74" s="117"/>
    </row>
    <row r="75">
      <c r="C75" s="117"/>
    </row>
    <row r="76">
      <c r="C76" s="117"/>
    </row>
    <row r="77">
      <c r="C77" s="117"/>
    </row>
    <row r="78">
      <c r="C78" s="117"/>
    </row>
    <row r="79">
      <c r="C79" s="117"/>
    </row>
    <row r="80">
      <c r="C80" s="117"/>
    </row>
    <row r="81">
      <c r="C81" s="117"/>
    </row>
    <row r="82">
      <c r="C82" s="117"/>
    </row>
    <row r="83">
      <c r="C83" s="117"/>
    </row>
    <row r="84">
      <c r="C84" s="117"/>
    </row>
    <row r="85">
      <c r="C85" s="117"/>
    </row>
    <row r="86">
      <c r="C86" s="117"/>
    </row>
    <row r="87">
      <c r="C87" s="117"/>
    </row>
    <row r="88">
      <c r="C88" s="117"/>
    </row>
    <row r="89">
      <c r="C89" s="117"/>
    </row>
    <row r="90">
      <c r="C90" s="117"/>
    </row>
    <row r="91">
      <c r="C91" s="117"/>
    </row>
    <row r="92">
      <c r="C92" s="117"/>
    </row>
    <row r="93">
      <c r="C93" s="117"/>
    </row>
    <row r="94">
      <c r="C94" s="117"/>
    </row>
    <row r="95">
      <c r="C95" s="117"/>
    </row>
    <row r="96">
      <c r="C96" s="117"/>
    </row>
    <row r="97">
      <c r="C97" s="117"/>
    </row>
    <row r="98">
      <c r="C98" s="117"/>
    </row>
    <row r="99">
      <c r="C99" s="117"/>
    </row>
    <row r="100">
      <c r="C100" s="117"/>
    </row>
    <row r="101">
      <c r="C101" s="117"/>
    </row>
    <row r="102">
      <c r="C102" s="117"/>
    </row>
    <row r="103">
      <c r="C103" s="117"/>
    </row>
    <row r="104">
      <c r="C104" s="117"/>
    </row>
    <row r="105">
      <c r="C105" s="117"/>
    </row>
    <row r="106">
      <c r="C106" s="117"/>
    </row>
    <row r="107">
      <c r="C107" s="117"/>
    </row>
    <row r="108">
      <c r="C108" s="117"/>
    </row>
    <row r="109">
      <c r="C109" s="117"/>
    </row>
    <row r="110">
      <c r="C110" s="117"/>
    </row>
    <row r="111">
      <c r="C111" s="117"/>
    </row>
    <row r="112">
      <c r="C112" s="117"/>
    </row>
    <row r="113">
      <c r="C113" s="117"/>
    </row>
    <row r="114">
      <c r="C114" s="117"/>
    </row>
    <row r="115">
      <c r="C115" s="117"/>
    </row>
    <row r="116">
      <c r="C116" s="117"/>
    </row>
    <row r="117">
      <c r="C117" s="117"/>
    </row>
    <row r="118">
      <c r="C118" s="117"/>
    </row>
    <row r="119">
      <c r="C119" s="117"/>
    </row>
    <row r="120">
      <c r="C120" s="117"/>
    </row>
    <row r="121">
      <c r="C121" s="117"/>
    </row>
    <row r="122">
      <c r="C122" s="117"/>
    </row>
    <row r="123">
      <c r="C123" s="117"/>
    </row>
    <row r="124">
      <c r="C124" s="117"/>
    </row>
    <row r="125">
      <c r="C125" s="117"/>
    </row>
    <row r="126">
      <c r="C126" s="117"/>
    </row>
    <row r="127">
      <c r="C127" s="117"/>
    </row>
    <row r="128">
      <c r="C128" s="117"/>
    </row>
    <row r="129">
      <c r="C129" s="117"/>
    </row>
    <row r="130">
      <c r="C130" s="117"/>
    </row>
    <row r="131">
      <c r="C131" s="117"/>
    </row>
    <row r="132">
      <c r="C132" s="117"/>
    </row>
    <row r="133">
      <c r="C133" s="117"/>
    </row>
    <row r="134">
      <c r="C134" s="117"/>
    </row>
    <row r="135">
      <c r="C135" s="117"/>
    </row>
    <row r="136">
      <c r="C136" s="117"/>
    </row>
    <row r="137">
      <c r="C137" s="117"/>
    </row>
    <row r="138">
      <c r="C138" s="117"/>
    </row>
    <row r="139">
      <c r="C139" s="117"/>
    </row>
    <row r="140">
      <c r="C140" s="117"/>
    </row>
    <row r="141">
      <c r="C141" s="117"/>
    </row>
    <row r="142">
      <c r="C142" s="117"/>
    </row>
    <row r="143">
      <c r="C143" s="117"/>
    </row>
    <row r="144">
      <c r="C144" s="117"/>
    </row>
    <row r="145">
      <c r="C145" s="117"/>
    </row>
    <row r="146">
      <c r="C146" s="117"/>
    </row>
    <row r="147">
      <c r="C147" s="117"/>
    </row>
    <row r="148">
      <c r="C148" s="117"/>
    </row>
    <row r="149">
      <c r="C149" s="117"/>
    </row>
    <row r="150">
      <c r="C150" s="117"/>
    </row>
    <row r="151">
      <c r="C151" s="117"/>
    </row>
    <row r="152">
      <c r="C152" s="117"/>
    </row>
    <row r="153">
      <c r="C153" s="117"/>
    </row>
    <row r="154">
      <c r="C154" s="117"/>
    </row>
    <row r="155">
      <c r="C155" s="117"/>
    </row>
    <row r="156">
      <c r="C156" s="117"/>
    </row>
    <row r="157">
      <c r="C157" s="117"/>
    </row>
    <row r="158">
      <c r="C158" s="117"/>
    </row>
    <row r="159">
      <c r="C159" s="117"/>
    </row>
    <row r="160">
      <c r="C160" s="117"/>
    </row>
    <row r="161">
      <c r="C161" s="117"/>
    </row>
    <row r="162">
      <c r="C162" s="117"/>
    </row>
    <row r="163">
      <c r="C163" s="117"/>
    </row>
    <row r="164">
      <c r="C164" s="117"/>
    </row>
    <row r="165">
      <c r="C165" s="117"/>
    </row>
    <row r="166">
      <c r="C166" s="117"/>
    </row>
    <row r="167">
      <c r="C167" s="117"/>
    </row>
    <row r="168">
      <c r="C168" s="117"/>
    </row>
    <row r="169">
      <c r="C169" s="117"/>
    </row>
    <row r="170">
      <c r="C170" s="117"/>
    </row>
    <row r="171">
      <c r="C171" s="117"/>
    </row>
    <row r="172">
      <c r="C172" s="117"/>
    </row>
    <row r="173">
      <c r="C173" s="117"/>
    </row>
    <row r="174">
      <c r="C174" s="117"/>
    </row>
    <row r="175">
      <c r="C175" s="117"/>
    </row>
    <row r="176">
      <c r="C176" s="117"/>
    </row>
    <row r="177">
      <c r="C177" s="117"/>
    </row>
    <row r="178">
      <c r="C178" s="117"/>
    </row>
    <row r="179">
      <c r="C179" s="117"/>
    </row>
    <row r="180">
      <c r="C180" s="117"/>
    </row>
    <row r="181">
      <c r="C181" s="117"/>
    </row>
    <row r="182">
      <c r="C182" s="117"/>
    </row>
    <row r="183">
      <c r="C183" s="117"/>
    </row>
    <row r="184">
      <c r="C184" s="117"/>
    </row>
    <row r="185">
      <c r="C185" s="117"/>
    </row>
    <row r="186">
      <c r="C186" s="117"/>
    </row>
    <row r="187">
      <c r="C187" s="117"/>
    </row>
    <row r="188">
      <c r="C188" s="117"/>
    </row>
    <row r="189">
      <c r="C189" s="117"/>
    </row>
    <row r="190">
      <c r="C190" s="117"/>
    </row>
    <row r="191">
      <c r="C191" s="117"/>
    </row>
    <row r="192">
      <c r="C192" s="117"/>
    </row>
    <row r="193">
      <c r="C193" s="117"/>
    </row>
    <row r="194">
      <c r="C194" s="117"/>
    </row>
    <row r="195">
      <c r="C195" s="117"/>
    </row>
    <row r="196">
      <c r="C196" s="117"/>
    </row>
    <row r="197">
      <c r="C197" s="117"/>
    </row>
    <row r="198">
      <c r="C198" s="117"/>
    </row>
    <row r="199">
      <c r="C199" s="117"/>
    </row>
    <row r="200">
      <c r="C200" s="117"/>
    </row>
    <row r="201">
      <c r="C201" s="117"/>
    </row>
    <row r="202">
      <c r="C202" s="117"/>
    </row>
    <row r="203">
      <c r="C203" s="117"/>
    </row>
    <row r="204">
      <c r="C204" s="117"/>
    </row>
    <row r="205">
      <c r="C205" s="117"/>
    </row>
    <row r="206">
      <c r="C206" s="117"/>
    </row>
    <row r="207">
      <c r="C207" s="117"/>
    </row>
    <row r="208">
      <c r="C208" s="117"/>
    </row>
    <row r="209">
      <c r="C209" s="117"/>
    </row>
    <row r="210">
      <c r="C210" s="117"/>
    </row>
    <row r="211">
      <c r="C211" s="117"/>
    </row>
    <row r="212">
      <c r="C212" s="117"/>
    </row>
    <row r="213">
      <c r="C213" s="117"/>
    </row>
    <row r="214">
      <c r="C214" s="117"/>
    </row>
    <row r="215">
      <c r="C215" s="117"/>
    </row>
    <row r="216">
      <c r="C216" s="117"/>
    </row>
    <row r="217">
      <c r="C217" s="117"/>
    </row>
    <row r="218">
      <c r="C218" s="117"/>
    </row>
    <row r="219">
      <c r="C219" s="117"/>
    </row>
    <row r="220">
      <c r="C220" s="117"/>
    </row>
    <row r="221">
      <c r="C221" s="117"/>
    </row>
    <row r="222">
      <c r="C222" s="117"/>
    </row>
    <row r="223">
      <c r="C223" s="117"/>
    </row>
    <row r="224">
      <c r="C224" s="117"/>
    </row>
    <row r="225">
      <c r="C225" s="117"/>
    </row>
    <row r="226">
      <c r="C226" s="117"/>
    </row>
    <row r="227">
      <c r="C227" s="117"/>
    </row>
    <row r="228">
      <c r="C228" s="117"/>
    </row>
    <row r="229">
      <c r="C229" s="117"/>
    </row>
    <row r="230">
      <c r="C230" s="117"/>
    </row>
    <row r="231">
      <c r="C231" s="117"/>
    </row>
    <row r="232">
      <c r="C232" s="117"/>
    </row>
    <row r="233">
      <c r="C233" s="117"/>
    </row>
    <row r="234">
      <c r="C234" s="117"/>
    </row>
    <row r="235">
      <c r="C235" s="117"/>
    </row>
    <row r="236">
      <c r="C236" s="117"/>
    </row>
    <row r="237">
      <c r="C237" s="117"/>
    </row>
    <row r="238">
      <c r="C238" s="117"/>
    </row>
    <row r="239">
      <c r="C239" s="117"/>
    </row>
    <row r="240">
      <c r="C240" s="117"/>
    </row>
    <row r="241">
      <c r="C241" s="117"/>
    </row>
    <row r="242">
      <c r="C242" s="117"/>
    </row>
    <row r="243">
      <c r="C243" s="117"/>
    </row>
    <row r="244">
      <c r="C244" s="117"/>
    </row>
    <row r="245">
      <c r="C245" s="117"/>
    </row>
    <row r="246">
      <c r="C246" s="117"/>
    </row>
    <row r="247">
      <c r="C247" s="117"/>
    </row>
    <row r="248">
      <c r="C248" s="117"/>
    </row>
    <row r="249">
      <c r="C249" s="117"/>
    </row>
    <row r="250">
      <c r="C250" s="117"/>
    </row>
    <row r="251">
      <c r="C251" s="117"/>
    </row>
    <row r="252">
      <c r="C252" s="117"/>
    </row>
    <row r="253">
      <c r="C253" s="117"/>
    </row>
    <row r="254">
      <c r="C254" s="117"/>
    </row>
    <row r="255">
      <c r="C255" s="117"/>
    </row>
    <row r="256">
      <c r="C256" s="117"/>
    </row>
    <row r="257">
      <c r="C257" s="117"/>
    </row>
    <row r="258">
      <c r="C258" s="117"/>
    </row>
    <row r="259">
      <c r="C259" s="117"/>
    </row>
    <row r="260">
      <c r="C260" s="117"/>
    </row>
    <row r="261">
      <c r="C261" s="117"/>
    </row>
    <row r="262">
      <c r="C262" s="117"/>
    </row>
    <row r="263">
      <c r="C263" s="117"/>
    </row>
    <row r="264">
      <c r="C264" s="117"/>
    </row>
    <row r="265">
      <c r="C265" s="117"/>
    </row>
    <row r="266">
      <c r="C266" s="117"/>
    </row>
    <row r="267">
      <c r="C267" s="117"/>
    </row>
    <row r="268">
      <c r="C268" s="117"/>
    </row>
    <row r="269">
      <c r="C269" s="117"/>
    </row>
    <row r="270">
      <c r="C270" s="117"/>
    </row>
    <row r="271">
      <c r="C271" s="117"/>
    </row>
    <row r="272">
      <c r="C272" s="117"/>
    </row>
    <row r="273">
      <c r="C273" s="117"/>
    </row>
    <row r="274">
      <c r="C274" s="117"/>
    </row>
    <row r="275">
      <c r="C275" s="117"/>
    </row>
    <row r="276">
      <c r="C276" s="117"/>
    </row>
    <row r="277">
      <c r="C277" s="117"/>
    </row>
    <row r="278">
      <c r="C278" s="117"/>
    </row>
    <row r="279">
      <c r="C279" s="117"/>
    </row>
    <row r="280">
      <c r="C280" s="117"/>
    </row>
    <row r="281">
      <c r="C281" s="117"/>
    </row>
    <row r="282">
      <c r="C282" s="117"/>
    </row>
    <row r="283">
      <c r="C283" s="117"/>
    </row>
    <row r="284">
      <c r="C284" s="117"/>
    </row>
    <row r="285">
      <c r="C285" s="117"/>
    </row>
    <row r="286">
      <c r="C286" s="117"/>
    </row>
    <row r="287">
      <c r="C287" s="117"/>
    </row>
    <row r="288">
      <c r="C288" s="117"/>
    </row>
    <row r="289">
      <c r="C289" s="117"/>
    </row>
    <row r="290">
      <c r="C290" s="117"/>
    </row>
    <row r="291">
      <c r="C291" s="117"/>
    </row>
    <row r="292">
      <c r="C292" s="117"/>
    </row>
    <row r="293">
      <c r="C293" s="117"/>
    </row>
    <row r="294">
      <c r="C294" s="117"/>
    </row>
    <row r="295">
      <c r="C295" s="117"/>
    </row>
    <row r="296">
      <c r="C296" s="117"/>
    </row>
    <row r="297">
      <c r="C297" s="117"/>
    </row>
    <row r="298">
      <c r="C298" s="117"/>
    </row>
    <row r="299">
      <c r="C299" s="117"/>
    </row>
    <row r="300">
      <c r="C300" s="117"/>
    </row>
    <row r="301">
      <c r="C301" s="117"/>
    </row>
    <row r="302">
      <c r="C302" s="117"/>
    </row>
    <row r="303">
      <c r="C303" s="117"/>
    </row>
    <row r="304">
      <c r="C304" s="117"/>
    </row>
    <row r="305">
      <c r="C305" s="117"/>
    </row>
    <row r="306">
      <c r="C306" s="117"/>
    </row>
    <row r="307">
      <c r="C307" s="117"/>
    </row>
    <row r="308">
      <c r="C308" s="117"/>
    </row>
    <row r="309">
      <c r="C309" s="117"/>
    </row>
    <row r="310">
      <c r="C310" s="117"/>
    </row>
    <row r="311">
      <c r="C311" s="117"/>
    </row>
    <row r="312">
      <c r="C312" s="117"/>
    </row>
    <row r="313">
      <c r="C313" s="117"/>
    </row>
    <row r="314">
      <c r="C314" s="117"/>
    </row>
    <row r="315">
      <c r="C315" s="117"/>
    </row>
    <row r="316">
      <c r="C316" s="117"/>
    </row>
    <row r="317">
      <c r="C317" s="117"/>
    </row>
    <row r="318">
      <c r="C318" s="117"/>
    </row>
    <row r="319">
      <c r="C319" s="117"/>
    </row>
    <row r="320">
      <c r="C320" s="117"/>
    </row>
    <row r="321">
      <c r="C321" s="117"/>
    </row>
    <row r="322">
      <c r="C322" s="117"/>
    </row>
    <row r="323">
      <c r="C323" s="117"/>
    </row>
    <row r="324">
      <c r="C324" s="117"/>
    </row>
    <row r="325">
      <c r="C325" s="117"/>
    </row>
    <row r="326">
      <c r="C326" s="117"/>
    </row>
    <row r="327">
      <c r="C327" s="117"/>
    </row>
    <row r="328">
      <c r="C328" s="117"/>
    </row>
    <row r="329">
      <c r="C329" s="117"/>
    </row>
    <row r="330">
      <c r="C330" s="117"/>
    </row>
    <row r="331">
      <c r="C331" s="117"/>
    </row>
    <row r="332">
      <c r="C332" s="117"/>
    </row>
    <row r="333">
      <c r="C333" s="117"/>
    </row>
    <row r="334">
      <c r="C334" s="117"/>
    </row>
    <row r="335">
      <c r="C335" s="117"/>
    </row>
    <row r="336">
      <c r="C336" s="117"/>
    </row>
    <row r="337">
      <c r="C337" s="117"/>
    </row>
    <row r="338">
      <c r="C338" s="117"/>
    </row>
    <row r="339">
      <c r="C339" s="117"/>
    </row>
    <row r="340">
      <c r="C340" s="117"/>
    </row>
    <row r="341">
      <c r="C341" s="117"/>
    </row>
    <row r="342">
      <c r="C342" s="117"/>
    </row>
    <row r="343">
      <c r="C343" s="117"/>
    </row>
    <row r="344">
      <c r="C344" s="117"/>
    </row>
    <row r="345">
      <c r="C345" s="117"/>
    </row>
    <row r="346">
      <c r="C346" s="117"/>
    </row>
    <row r="347">
      <c r="C347" s="117"/>
    </row>
    <row r="348">
      <c r="C348" s="117"/>
    </row>
    <row r="349">
      <c r="C349" s="117"/>
    </row>
    <row r="350">
      <c r="C350" s="117"/>
    </row>
    <row r="351">
      <c r="C351" s="117"/>
    </row>
    <row r="352">
      <c r="C352" s="117"/>
    </row>
    <row r="353">
      <c r="C353" s="117"/>
    </row>
    <row r="354">
      <c r="C354" s="117"/>
    </row>
    <row r="355">
      <c r="C355" s="117"/>
    </row>
    <row r="356">
      <c r="C356" s="117"/>
    </row>
    <row r="357">
      <c r="C357" s="117"/>
    </row>
    <row r="358">
      <c r="C358" s="117"/>
    </row>
    <row r="359">
      <c r="C359" s="117"/>
    </row>
    <row r="360">
      <c r="C360" s="117"/>
    </row>
    <row r="361">
      <c r="C361" s="117"/>
    </row>
    <row r="362">
      <c r="C362" s="117"/>
    </row>
    <row r="363">
      <c r="C363" s="117"/>
    </row>
    <row r="364">
      <c r="C364" s="117"/>
    </row>
    <row r="365">
      <c r="C365" s="117"/>
    </row>
    <row r="366">
      <c r="C366" s="117"/>
    </row>
    <row r="367">
      <c r="C367" s="117"/>
    </row>
    <row r="368">
      <c r="C368" s="117"/>
    </row>
    <row r="369">
      <c r="C369" s="117"/>
    </row>
    <row r="370">
      <c r="C370" s="117"/>
    </row>
    <row r="371">
      <c r="C371" s="117"/>
    </row>
    <row r="372">
      <c r="C372" s="117"/>
    </row>
    <row r="373">
      <c r="C373" s="117"/>
    </row>
    <row r="374">
      <c r="C374" s="117"/>
    </row>
    <row r="375">
      <c r="C375" s="117"/>
    </row>
    <row r="376">
      <c r="C376" s="117"/>
    </row>
    <row r="377">
      <c r="C377" s="117"/>
    </row>
    <row r="378">
      <c r="C378" s="117"/>
    </row>
    <row r="379">
      <c r="C379" s="117"/>
    </row>
    <row r="380">
      <c r="C380" s="117"/>
    </row>
    <row r="381">
      <c r="C381" s="117"/>
    </row>
    <row r="382">
      <c r="C382" s="117"/>
    </row>
    <row r="383">
      <c r="C383" s="117"/>
    </row>
    <row r="384">
      <c r="C384" s="117"/>
    </row>
    <row r="385">
      <c r="C385" s="117"/>
    </row>
    <row r="386">
      <c r="C386" s="117"/>
    </row>
    <row r="387">
      <c r="C387" s="117"/>
    </row>
    <row r="388">
      <c r="C388" s="117"/>
    </row>
    <row r="389">
      <c r="C389" s="117"/>
    </row>
    <row r="390">
      <c r="C390" s="117"/>
    </row>
    <row r="391">
      <c r="C391" s="117"/>
    </row>
    <row r="392">
      <c r="C392" s="117"/>
    </row>
    <row r="393">
      <c r="C393" s="117"/>
    </row>
    <row r="394">
      <c r="C394" s="117"/>
    </row>
    <row r="395">
      <c r="C395" s="117"/>
    </row>
    <row r="396">
      <c r="C396" s="117"/>
    </row>
    <row r="397">
      <c r="C397" s="117"/>
    </row>
    <row r="398">
      <c r="C398" s="117"/>
    </row>
    <row r="399">
      <c r="C399" s="117"/>
    </row>
    <row r="400">
      <c r="C400" s="117"/>
    </row>
    <row r="401">
      <c r="C401" s="117"/>
    </row>
    <row r="402">
      <c r="C402" s="117"/>
    </row>
    <row r="403">
      <c r="C403" s="117"/>
    </row>
    <row r="404">
      <c r="C404" s="117"/>
    </row>
    <row r="405">
      <c r="C405" s="117"/>
    </row>
    <row r="406">
      <c r="C406" s="117"/>
    </row>
    <row r="407">
      <c r="C407" s="117"/>
    </row>
    <row r="408">
      <c r="C408" s="117"/>
    </row>
    <row r="409">
      <c r="C409" s="117"/>
    </row>
    <row r="410">
      <c r="C410" s="117"/>
    </row>
    <row r="411">
      <c r="C411" s="117"/>
    </row>
    <row r="412">
      <c r="C412" s="117"/>
    </row>
    <row r="413">
      <c r="C413" s="117"/>
    </row>
    <row r="414">
      <c r="C414" s="117"/>
    </row>
    <row r="415">
      <c r="C415" s="117"/>
    </row>
    <row r="416">
      <c r="C416" s="117"/>
    </row>
    <row r="417">
      <c r="C417" s="117"/>
    </row>
    <row r="418">
      <c r="C418" s="117"/>
    </row>
    <row r="419">
      <c r="C419" s="117"/>
    </row>
    <row r="420">
      <c r="C420" s="117"/>
    </row>
    <row r="421">
      <c r="C421" s="117"/>
    </row>
    <row r="422">
      <c r="C422" s="117"/>
    </row>
    <row r="423">
      <c r="C423" s="117"/>
    </row>
    <row r="424">
      <c r="C424" s="117"/>
    </row>
    <row r="425">
      <c r="C425" s="117"/>
    </row>
    <row r="426">
      <c r="C426" s="117"/>
    </row>
    <row r="427">
      <c r="C427" s="117"/>
    </row>
    <row r="428">
      <c r="C428" s="117"/>
    </row>
    <row r="429">
      <c r="C429" s="117"/>
    </row>
    <row r="430">
      <c r="C430" s="117"/>
    </row>
    <row r="431">
      <c r="C431" s="117"/>
    </row>
    <row r="432">
      <c r="C432" s="117"/>
    </row>
    <row r="433">
      <c r="C433" s="117"/>
    </row>
    <row r="434">
      <c r="C434" s="117"/>
    </row>
    <row r="435">
      <c r="C435" s="117"/>
    </row>
    <row r="436">
      <c r="C436" s="117"/>
    </row>
    <row r="437">
      <c r="C437" s="117"/>
    </row>
    <row r="438">
      <c r="C438" s="117"/>
    </row>
    <row r="439">
      <c r="C439" s="117"/>
    </row>
    <row r="440">
      <c r="C440" s="117"/>
    </row>
    <row r="441">
      <c r="C441" s="117"/>
    </row>
    <row r="442">
      <c r="C442" s="117"/>
    </row>
    <row r="443">
      <c r="C443" s="117"/>
    </row>
    <row r="444">
      <c r="C444" s="117"/>
    </row>
    <row r="445">
      <c r="C445" s="117"/>
    </row>
    <row r="446">
      <c r="C446" s="117"/>
    </row>
    <row r="447">
      <c r="C447" s="117"/>
    </row>
    <row r="448">
      <c r="C448" s="117"/>
    </row>
    <row r="449">
      <c r="C449" s="117"/>
    </row>
    <row r="450">
      <c r="C450" s="117"/>
    </row>
    <row r="451">
      <c r="C451" s="117"/>
    </row>
    <row r="452">
      <c r="C452" s="117"/>
    </row>
    <row r="453">
      <c r="C453" s="117"/>
    </row>
    <row r="454">
      <c r="C454" s="117"/>
    </row>
    <row r="455">
      <c r="C455" s="117"/>
    </row>
    <row r="456">
      <c r="C456" s="117"/>
    </row>
    <row r="457">
      <c r="C457" s="117"/>
    </row>
    <row r="458">
      <c r="C458" s="117"/>
    </row>
    <row r="459">
      <c r="C459" s="117"/>
    </row>
    <row r="460">
      <c r="C460" s="117"/>
    </row>
    <row r="461">
      <c r="C461" s="117"/>
    </row>
    <row r="462">
      <c r="C462" s="117"/>
    </row>
    <row r="463">
      <c r="C463" s="117"/>
    </row>
    <row r="464">
      <c r="C464" s="117"/>
    </row>
    <row r="465">
      <c r="C465" s="117"/>
    </row>
    <row r="466">
      <c r="C466" s="117"/>
    </row>
    <row r="467">
      <c r="C467" s="117"/>
    </row>
    <row r="468">
      <c r="C468" s="117"/>
    </row>
    <row r="469">
      <c r="C469" s="117"/>
    </row>
    <row r="470">
      <c r="C470" s="117"/>
    </row>
    <row r="471">
      <c r="C471" s="117"/>
    </row>
    <row r="472">
      <c r="C472" s="117"/>
    </row>
    <row r="473">
      <c r="C473" s="117"/>
    </row>
    <row r="474">
      <c r="C474" s="117"/>
    </row>
    <row r="475">
      <c r="C475" s="117"/>
    </row>
    <row r="476">
      <c r="C476" s="117"/>
    </row>
    <row r="477">
      <c r="C477" s="117"/>
    </row>
    <row r="478">
      <c r="C478" s="117"/>
    </row>
    <row r="479">
      <c r="C479" s="117"/>
    </row>
    <row r="480">
      <c r="C480" s="117"/>
    </row>
    <row r="481">
      <c r="C481" s="117"/>
    </row>
    <row r="482">
      <c r="C482" s="117"/>
    </row>
    <row r="483">
      <c r="C483" s="117"/>
    </row>
    <row r="484">
      <c r="C484" s="117"/>
    </row>
    <row r="485">
      <c r="C485" s="117"/>
    </row>
    <row r="486">
      <c r="C486" s="117"/>
    </row>
    <row r="487">
      <c r="C487" s="117"/>
    </row>
    <row r="488">
      <c r="C488" s="117"/>
    </row>
    <row r="489">
      <c r="C489" s="117"/>
    </row>
    <row r="490">
      <c r="C490" s="117"/>
    </row>
    <row r="491">
      <c r="C491" s="117"/>
    </row>
    <row r="492">
      <c r="C492" s="117"/>
    </row>
    <row r="493">
      <c r="C493" s="117"/>
    </row>
    <row r="494">
      <c r="C494" s="117"/>
    </row>
    <row r="495">
      <c r="C495" s="117"/>
    </row>
    <row r="496">
      <c r="C496" s="117"/>
    </row>
    <row r="497">
      <c r="C497" s="117"/>
    </row>
    <row r="498">
      <c r="C498" s="117"/>
    </row>
    <row r="499">
      <c r="C499" s="117"/>
    </row>
    <row r="500">
      <c r="C500" s="117"/>
    </row>
    <row r="501">
      <c r="C501" s="117"/>
    </row>
    <row r="502">
      <c r="C502" s="117"/>
    </row>
    <row r="503">
      <c r="C503" s="117"/>
    </row>
    <row r="504">
      <c r="C504" s="117"/>
    </row>
    <row r="505">
      <c r="C505" s="117"/>
    </row>
    <row r="506">
      <c r="C506" s="117"/>
    </row>
    <row r="507">
      <c r="C507" s="117"/>
    </row>
    <row r="508">
      <c r="C508" s="117"/>
    </row>
    <row r="509">
      <c r="C509" s="117"/>
    </row>
    <row r="510">
      <c r="C510" s="117"/>
    </row>
    <row r="511">
      <c r="C511" s="117"/>
    </row>
    <row r="512">
      <c r="C512" s="117"/>
    </row>
    <row r="513">
      <c r="C513" s="117"/>
    </row>
    <row r="514">
      <c r="C514" s="117"/>
    </row>
    <row r="515">
      <c r="C515" s="117"/>
    </row>
    <row r="516">
      <c r="C516" s="117"/>
    </row>
    <row r="517">
      <c r="C517" s="117"/>
    </row>
    <row r="518">
      <c r="C518" s="117"/>
    </row>
    <row r="519">
      <c r="C519" s="117"/>
    </row>
    <row r="520">
      <c r="C520" s="117"/>
    </row>
    <row r="521">
      <c r="C521" s="117"/>
    </row>
    <row r="522">
      <c r="C522" s="117"/>
    </row>
    <row r="523">
      <c r="C523" s="117"/>
    </row>
    <row r="524">
      <c r="C524" s="117"/>
    </row>
    <row r="525">
      <c r="C525" s="117"/>
    </row>
    <row r="526">
      <c r="C526" s="117"/>
    </row>
    <row r="527">
      <c r="C527" s="117"/>
    </row>
    <row r="528">
      <c r="C528" s="117"/>
    </row>
    <row r="529">
      <c r="C529" s="117"/>
    </row>
    <row r="530">
      <c r="C530" s="117"/>
    </row>
    <row r="531">
      <c r="C531" s="117"/>
    </row>
    <row r="532">
      <c r="C532" s="117"/>
    </row>
    <row r="533">
      <c r="C533" s="117"/>
    </row>
    <row r="534">
      <c r="C534" s="117"/>
    </row>
    <row r="535">
      <c r="C535" s="117"/>
    </row>
    <row r="536">
      <c r="C536" s="117"/>
    </row>
    <row r="537">
      <c r="C537" s="117"/>
    </row>
    <row r="538">
      <c r="C538" s="117"/>
    </row>
    <row r="539">
      <c r="C539" s="117"/>
    </row>
    <row r="540">
      <c r="C540" s="117"/>
    </row>
    <row r="541">
      <c r="C541" s="117"/>
    </row>
    <row r="542">
      <c r="C542" s="117"/>
    </row>
    <row r="543">
      <c r="C543" s="117"/>
    </row>
    <row r="544">
      <c r="C544" s="117"/>
    </row>
    <row r="545">
      <c r="C545" s="117"/>
    </row>
    <row r="546">
      <c r="C546" s="117"/>
    </row>
    <row r="547">
      <c r="C547" s="117"/>
    </row>
    <row r="548">
      <c r="C548" s="117"/>
    </row>
    <row r="549">
      <c r="C549" s="117"/>
    </row>
    <row r="550">
      <c r="C550" s="117"/>
    </row>
    <row r="551">
      <c r="C551" s="117"/>
    </row>
    <row r="552">
      <c r="C552" s="117"/>
    </row>
    <row r="553">
      <c r="C553" s="117"/>
    </row>
    <row r="554">
      <c r="C554" s="117"/>
    </row>
    <row r="555">
      <c r="C555" s="117"/>
    </row>
    <row r="556">
      <c r="C556" s="117"/>
    </row>
    <row r="557">
      <c r="C557" s="117"/>
    </row>
    <row r="558">
      <c r="C558" s="117"/>
    </row>
    <row r="559">
      <c r="C559" s="117"/>
    </row>
    <row r="560">
      <c r="C560" s="117"/>
    </row>
    <row r="561">
      <c r="C561" s="117"/>
    </row>
    <row r="562">
      <c r="C562" s="117"/>
    </row>
    <row r="563">
      <c r="C563" s="117"/>
    </row>
    <row r="564">
      <c r="C564" s="117"/>
    </row>
    <row r="565">
      <c r="C565" s="117"/>
    </row>
    <row r="566">
      <c r="C566" s="117"/>
    </row>
    <row r="567">
      <c r="C567" s="117"/>
    </row>
    <row r="568">
      <c r="C568" s="117"/>
    </row>
    <row r="569">
      <c r="C569" s="117"/>
    </row>
    <row r="570">
      <c r="C570" s="117"/>
    </row>
    <row r="571">
      <c r="C571" s="117"/>
    </row>
    <row r="572">
      <c r="C572" s="117"/>
    </row>
    <row r="573">
      <c r="C573" s="117"/>
    </row>
    <row r="574">
      <c r="C574" s="117"/>
    </row>
    <row r="575">
      <c r="C575" s="117"/>
    </row>
    <row r="576">
      <c r="C576" s="117"/>
    </row>
    <row r="577">
      <c r="C577" s="117"/>
    </row>
    <row r="578">
      <c r="C578" s="117"/>
    </row>
    <row r="579">
      <c r="C579" s="117"/>
    </row>
    <row r="580">
      <c r="C580" s="117"/>
    </row>
    <row r="581">
      <c r="C581" s="117"/>
    </row>
    <row r="582">
      <c r="C582" s="117"/>
    </row>
    <row r="583">
      <c r="C583" s="117"/>
    </row>
    <row r="584">
      <c r="C584" s="117"/>
    </row>
    <row r="585">
      <c r="C585" s="117"/>
    </row>
    <row r="586">
      <c r="C586" s="117"/>
    </row>
    <row r="587">
      <c r="C587" s="117"/>
    </row>
    <row r="588">
      <c r="C588" s="117"/>
    </row>
    <row r="589">
      <c r="C589" s="117"/>
    </row>
    <row r="590">
      <c r="C590" s="117"/>
    </row>
    <row r="591">
      <c r="C591" s="117"/>
    </row>
    <row r="592">
      <c r="C592" s="117"/>
    </row>
    <row r="593">
      <c r="C593" s="117"/>
    </row>
    <row r="594">
      <c r="C594" s="117"/>
    </row>
    <row r="595">
      <c r="C595" s="117"/>
    </row>
    <row r="596">
      <c r="C596" s="117"/>
    </row>
    <row r="597">
      <c r="C597" s="117"/>
    </row>
    <row r="598">
      <c r="C598" s="117"/>
    </row>
    <row r="599">
      <c r="C599" s="117"/>
    </row>
    <row r="600">
      <c r="C600" s="117"/>
    </row>
    <row r="601">
      <c r="C601" s="117"/>
    </row>
    <row r="602">
      <c r="C602" s="117"/>
    </row>
    <row r="603">
      <c r="C603" s="117"/>
    </row>
    <row r="604">
      <c r="C604" s="117"/>
    </row>
    <row r="605">
      <c r="C605" s="117"/>
    </row>
    <row r="606">
      <c r="C606" s="117"/>
    </row>
    <row r="607">
      <c r="C607" s="117"/>
    </row>
    <row r="608">
      <c r="C608" s="117"/>
    </row>
    <row r="609">
      <c r="C609" s="117"/>
    </row>
    <row r="610">
      <c r="C610" s="117"/>
    </row>
    <row r="611">
      <c r="C611" s="117"/>
    </row>
    <row r="612">
      <c r="C612" s="117"/>
    </row>
    <row r="613">
      <c r="C613" s="117"/>
    </row>
    <row r="614">
      <c r="C614" s="117"/>
    </row>
    <row r="615">
      <c r="C615" s="117"/>
    </row>
    <row r="616">
      <c r="C616" s="117"/>
    </row>
    <row r="617">
      <c r="C617" s="117"/>
    </row>
    <row r="618">
      <c r="C618" s="117"/>
    </row>
    <row r="619">
      <c r="C619" s="117"/>
    </row>
    <row r="620">
      <c r="C620" s="117"/>
    </row>
    <row r="621">
      <c r="C621" s="117"/>
    </row>
    <row r="622">
      <c r="C622" s="117"/>
    </row>
    <row r="623">
      <c r="C623" s="117"/>
    </row>
    <row r="624">
      <c r="C624" s="117"/>
    </row>
    <row r="625">
      <c r="C625" s="117"/>
    </row>
    <row r="626">
      <c r="C626" s="117"/>
    </row>
    <row r="627">
      <c r="C627" s="117"/>
    </row>
    <row r="628">
      <c r="C628" s="117"/>
    </row>
    <row r="629">
      <c r="C629" s="117"/>
    </row>
    <row r="630">
      <c r="C630" s="117"/>
    </row>
    <row r="631">
      <c r="C631" s="117"/>
    </row>
    <row r="632">
      <c r="C632" s="117"/>
    </row>
    <row r="633">
      <c r="C633" s="117"/>
    </row>
    <row r="634">
      <c r="C634" s="117"/>
    </row>
    <row r="635">
      <c r="C635" s="117"/>
    </row>
    <row r="636">
      <c r="C636" s="117"/>
    </row>
    <row r="637">
      <c r="C637" s="117"/>
    </row>
    <row r="638">
      <c r="C638" s="117"/>
    </row>
    <row r="639">
      <c r="C639" s="117"/>
    </row>
    <row r="640">
      <c r="C640" s="117"/>
    </row>
    <row r="641">
      <c r="C641" s="117"/>
    </row>
    <row r="642">
      <c r="C642" s="117"/>
    </row>
    <row r="643">
      <c r="C643" s="117"/>
    </row>
    <row r="644">
      <c r="C644" s="117"/>
    </row>
    <row r="645">
      <c r="C645" s="117"/>
    </row>
    <row r="646">
      <c r="C646" s="117"/>
    </row>
    <row r="647">
      <c r="C647" s="117"/>
    </row>
    <row r="648">
      <c r="C648" s="117"/>
    </row>
    <row r="649">
      <c r="C649" s="117"/>
    </row>
    <row r="650">
      <c r="C650" s="117"/>
    </row>
    <row r="651">
      <c r="C651" s="117"/>
    </row>
    <row r="652">
      <c r="C652" s="117"/>
    </row>
    <row r="653">
      <c r="C653" s="117"/>
    </row>
    <row r="654">
      <c r="C654" s="117"/>
    </row>
    <row r="655">
      <c r="C655" s="117"/>
    </row>
    <row r="656">
      <c r="C656" s="117"/>
    </row>
    <row r="657">
      <c r="C657" s="117"/>
    </row>
    <row r="658">
      <c r="C658" s="117"/>
    </row>
    <row r="659">
      <c r="C659" s="117"/>
    </row>
    <row r="660">
      <c r="C660" s="117"/>
    </row>
    <row r="661">
      <c r="C661" s="117"/>
    </row>
    <row r="662">
      <c r="C662" s="117"/>
    </row>
    <row r="663">
      <c r="C663" s="117"/>
    </row>
    <row r="664">
      <c r="C664" s="117"/>
    </row>
    <row r="665">
      <c r="C665" s="117"/>
    </row>
    <row r="666">
      <c r="C666" s="117"/>
    </row>
    <row r="667">
      <c r="C667" s="117"/>
    </row>
    <row r="668">
      <c r="C668" s="117"/>
    </row>
    <row r="669">
      <c r="C669" s="117"/>
    </row>
    <row r="670">
      <c r="C670" s="117"/>
    </row>
    <row r="671">
      <c r="C671" s="117"/>
    </row>
    <row r="672">
      <c r="C672" s="117"/>
    </row>
    <row r="673">
      <c r="C673" s="117"/>
    </row>
    <row r="674">
      <c r="C674" s="117"/>
    </row>
    <row r="675">
      <c r="C675" s="117"/>
    </row>
    <row r="676">
      <c r="C676" s="117"/>
    </row>
    <row r="677">
      <c r="C677" s="117"/>
    </row>
    <row r="678">
      <c r="C678" s="117"/>
    </row>
    <row r="679">
      <c r="C679" s="117"/>
    </row>
    <row r="680">
      <c r="C680" s="117"/>
    </row>
    <row r="681">
      <c r="C681" s="117"/>
    </row>
    <row r="682">
      <c r="C682" s="117"/>
    </row>
    <row r="683">
      <c r="C683" s="117"/>
    </row>
    <row r="684">
      <c r="C684" s="117"/>
    </row>
    <row r="685">
      <c r="C685" s="117"/>
    </row>
    <row r="686">
      <c r="C686" s="117"/>
    </row>
    <row r="687">
      <c r="C687" s="117"/>
    </row>
    <row r="688">
      <c r="C688" s="117"/>
    </row>
    <row r="689">
      <c r="C689" s="117"/>
    </row>
    <row r="690">
      <c r="C690" s="117"/>
    </row>
    <row r="691">
      <c r="C691" s="117"/>
    </row>
    <row r="692">
      <c r="C692" s="117"/>
    </row>
    <row r="693">
      <c r="C693" s="117"/>
    </row>
    <row r="694">
      <c r="C694" s="117"/>
    </row>
    <row r="695">
      <c r="C695" s="117"/>
    </row>
    <row r="696">
      <c r="C696" s="117"/>
    </row>
    <row r="697">
      <c r="C697" s="117"/>
    </row>
    <row r="698">
      <c r="C698" s="117"/>
    </row>
    <row r="699">
      <c r="C699" s="117"/>
    </row>
    <row r="700">
      <c r="C700" s="117"/>
    </row>
    <row r="701">
      <c r="C701" s="117"/>
    </row>
    <row r="702">
      <c r="C702" s="117"/>
    </row>
    <row r="703">
      <c r="C703" s="117"/>
    </row>
    <row r="704">
      <c r="C704" s="117"/>
    </row>
    <row r="705">
      <c r="C705" s="117"/>
    </row>
    <row r="706">
      <c r="C706" s="117"/>
    </row>
    <row r="707">
      <c r="C707" s="117"/>
    </row>
    <row r="708">
      <c r="C708" s="117"/>
    </row>
    <row r="709">
      <c r="C709" s="117"/>
    </row>
    <row r="710">
      <c r="C710" s="117"/>
    </row>
    <row r="711">
      <c r="C711" s="117"/>
    </row>
    <row r="712">
      <c r="C712" s="117"/>
    </row>
    <row r="713">
      <c r="C713" s="117"/>
    </row>
    <row r="714">
      <c r="C714" s="117"/>
    </row>
    <row r="715">
      <c r="C715" s="117"/>
    </row>
    <row r="716">
      <c r="C716" s="117"/>
    </row>
    <row r="717">
      <c r="C717" s="117"/>
    </row>
    <row r="718">
      <c r="C718" s="117"/>
    </row>
    <row r="719">
      <c r="C719" s="117"/>
    </row>
    <row r="720">
      <c r="C720" s="117"/>
    </row>
    <row r="721">
      <c r="C721" s="117"/>
    </row>
    <row r="722">
      <c r="C722" s="117"/>
    </row>
    <row r="723">
      <c r="C723" s="117"/>
    </row>
    <row r="724">
      <c r="C724" s="117"/>
    </row>
    <row r="725">
      <c r="C725" s="117"/>
    </row>
    <row r="726">
      <c r="C726" s="117"/>
    </row>
    <row r="727">
      <c r="C727" s="117"/>
    </row>
    <row r="728">
      <c r="C728" s="117"/>
    </row>
    <row r="729">
      <c r="C729" s="117"/>
    </row>
    <row r="730">
      <c r="C730" s="117"/>
    </row>
    <row r="731">
      <c r="C731" s="117"/>
    </row>
    <row r="732">
      <c r="C732" s="117"/>
    </row>
    <row r="733">
      <c r="C733" s="117"/>
    </row>
    <row r="734">
      <c r="C734" s="117"/>
    </row>
    <row r="735">
      <c r="C735" s="117"/>
    </row>
    <row r="736">
      <c r="C736" s="117"/>
    </row>
    <row r="737">
      <c r="C737" s="117"/>
    </row>
    <row r="738">
      <c r="C738" s="117"/>
    </row>
    <row r="739">
      <c r="C739" s="117"/>
    </row>
    <row r="740">
      <c r="C740" s="117"/>
    </row>
    <row r="741">
      <c r="C741" s="117"/>
    </row>
    <row r="742">
      <c r="C742" s="117"/>
    </row>
    <row r="743">
      <c r="C743" s="117"/>
    </row>
    <row r="744">
      <c r="C744" s="117"/>
    </row>
    <row r="745">
      <c r="C745" s="117"/>
    </row>
    <row r="746">
      <c r="C746" s="117"/>
    </row>
    <row r="747">
      <c r="C747" s="117"/>
    </row>
    <row r="748">
      <c r="C748" s="117"/>
    </row>
    <row r="749">
      <c r="C749" s="117"/>
    </row>
    <row r="750">
      <c r="C750" s="117"/>
    </row>
    <row r="751">
      <c r="C751" s="117"/>
    </row>
    <row r="752">
      <c r="C752" s="117"/>
    </row>
    <row r="753">
      <c r="C753" s="117"/>
    </row>
    <row r="754">
      <c r="C754" s="117"/>
    </row>
    <row r="755">
      <c r="C755" s="117"/>
    </row>
    <row r="756">
      <c r="C756" s="117"/>
    </row>
    <row r="757">
      <c r="C757" s="117"/>
    </row>
    <row r="758">
      <c r="C758" s="117"/>
    </row>
    <row r="759">
      <c r="C759" s="117"/>
    </row>
    <row r="760">
      <c r="C760" s="117"/>
    </row>
    <row r="761">
      <c r="C761" s="117"/>
    </row>
    <row r="762">
      <c r="C762" s="117"/>
    </row>
    <row r="763">
      <c r="C763" s="117"/>
    </row>
    <row r="764">
      <c r="C764" s="117"/>
    </row>
    <row r="765">
      <c r="C765" s="117"/>
    </row>
    <row r="766">
      <c r="C766" s="117"/>
    </row>
    <row r="767">
      <c r="C767" s="117"/>
    </row>
    <row r="768">
      <c r="C768" s="117"/>
    </row>
    <row r="769">
      <c r="C769" s="117"/>
    </row>
    <row r="770">
      <c r="C770" s="117"/>
    </row>
    <row r="771">
      <c r="C771" s="117"/>
    </row>
    <row r="772">
      <c r="C772" s="117"/>
    </row>
    <row r="773">
      <c r="C773" s="117"/>
    </row>
    <row r="774">
      <c r="C774" s="117"/>
    </row>
    <row r="775">
      <c r="C775" s="117"/>
    </row>
    <row r="776">
      <c r="C776" s="117"/>
    </row>
    <row r="777">
      <c r="C777" s="117"/>
    </row>
    <row r="778">
      <c r="C778" s="117"/>
    </row>
    <row r="779">
      <c r="C779" s="117"/>
    </row>
    <row r="780">
      <c r="C780" s="117"/>
    </row>
    <row r="781">
      <c r="C781" s="117"/>
    </row>
    <row r="782">
      <c r="C782" s="117"/>
    </row>
    <row r="783">
      <c r="C783" s="117"/>
    </row>
    <row r="784">
      <c r="C784" s="117"/>
    </row>
    <row r="785">
      <c r="C785" s="117"/>
    </row>
    <row r="786">
      <c r="C786" s="117"/>
    </row>
    <row r="787">
      <c r="C787" s="117"/>
    </row>
    <row r="788">
      <c r="C788" s="117"/>
    </row>
    <row r="789">
      <c r="C789" s="117"/>
    </row>
    <row r="790">
      <c r="C790" s="117"/>
    </row>
    <row r="791">
      <c r="C791" s="117"/>
    </row>
    <row r="792">
      <c r="C792" s="117"/>
    </row>
    <row r="793">
      <c r="C793" s="117"/>
    </row>
    <row r="794">
      <c r="C794" s="117"/>
    </row>
    <row r="795">
      <c r="C795" s="117"/>
    </row>
    <row r="796">
      <c r="C796" s="117"/>
    </row>
    <row r="797">
      <c r="C797" s="117"/>
    </row>
    <row r="798">
      <c r="C798" s="117"/>
    </row>
    <row r="799">
      <c r="C799" s="117"/>
    </row>
    <row r="800">
      <c r="C800" s="117"/>
    </row>
    <row r="801">
      <c r="C801" s="117"/>
    </row>
    <row r="802">
      <c r="C802" s="117"/>
    </row>
    <row r="803">
      <c r="C803" s="117"/>
    </row>
    <row r="804">
      <c r="C804" s="117"/>
    </row>
    <row r="805">
      <c r="C805" s="117"/>
    </row>
    <row r="806">
      <c r="C806" s="117"/>
    </row>
    <row r="807">
      <c r="C807" s="117"/>
    </row>
    <row r="808">
      <c r="C808" s="117"/>
    </row>
    <row r="809">
      <c r="C809" s="117"/>
    </row>
    <row r="810">
      <c r="C810" s="117"/>
    </row>
    <row r="811">
      <c r="C811" s="117"/>
    </row>
    <row r="812">
      <c r="C812" s="117"/>
    </row>
    <row r="813">
      <c r="C813" s="117"/>
    </row>
    <row r="814">
      <c r="C814" s="117"/>
    </row>
    <row r="815">
      <c r="C815" s="117"/>
    </row>
    <row r="816">
      <c r="C816" s="117"/>
    </row>
    <row r="817">
      <c r="C817" s="117"/>
    </row>
    <row r="818">
      <c r="C818" s="117"/>
    </row>
    <row r="819">
      <c r="C819" s="117"/>
    </row>
    <row r="820">
      <c r="C820" s="117"/>
    </row>
    <row r="821">
      <c r="C821" s="117"/>
    </row>
    <row r="822">
      <c r="C822" s="117"/>
    </row>
    <row r="823">
      <c r="C823" s="117"/>
    </row>
    <row r="824">
      <c r="C824" s="117"/>
    </row>
    <row r="825">
      <c r="C825" s="117"/>
    </row>
    <row r="826">
      <c r="C826" s="117"/>
    </row>
    <row r="827">
      <c r="C827" s="117"/>
    </row>
    <row r="828">
      <c r="C828" s="117"/>
    </row>
    <row r="829">
      <c r="C829" s="117"/>
    </row>
    <row r="830">
      <c r="C830" s="117"/>
    </row>
    <row r="831">
      <c r="C831" s="117"/>
    </row>
    <row r="832">
      <c r="C832" s="117"/>
    </row>
    <row r="833">
      <c r="C833" s="117"/>
    </row>
    <row r="834">
      <c r="C834" s="117"/>
    </row>
    <row r="835">
      <c r="C835" s="117"/>
    </row>
    <row r="836">
      <c r="C836" s="117"/>
    </row>
    <row r="837">
      <c r="C837" s="117"/>
    </row>
    <row r="838">
      <c r="C838" s="117"/>
    </row>
    <row r="839">
      <c r="C839" s="117"/>
    </row>
    <row r="840">
      <c r="C840" s="117"/>
    </row>
    <row r="841">
      <c r="C841" s="117"/>
    </row>
    <row r="842">
      <c r="C842" s="117"/>
    </row>
    <row r="843">
      <c r="C843" s="117"/>
    </row>
    <row r="844">
      <c r="C844" s="117"/>
    </row>
    <row r="845">
      <c r="C845" s="117"/>
    </row>
    <row r="846">
      <c r="C846" s="117"/>
    </row>
    <row r="847">
      <c r="C847" s="117"/>
    </row>
    <row r="848">
      <c r="C848" s="117"/>
    </row>
    <row r="849">
      <c r="C849" s="117"/>
    </row>
    <row r="850">
      <c r="C850" s="117"/>
    </row>
    <row r="851">
      <c r="C851" s="117"/>
    </row>
    <row r="852">
      <c r="C852" s="117"/>
    </row>
    <row r="853">
      <c r="C853" s="117"/>
    </row>
    <row r="854">
      <c r="C854" s="117"/>
    </row>
    <row r="855">
      <c r="C855" s="117"/>
    </row>
    <row r="856">
      <c r="C856" s="117"/>
    </row>
    <row r="857">
      <c r="C857" s="117"/>
    </row>
    <row r="858">
      <c r="C858" s="117"/>
    </row>
    <row r="859">
      <c r="C859" s="117"/>
    </row>
    <row r="860">
      <c r="C860" s="117"/>
    </row>
    <row r="861">
      <c r="C861" s="117"/>
    </row>
    <row r="862">
      <c r="C862" s="117"/>
    </row>
    <row r="863">
      <c r="C863" s="117"/>
    </row>
    <row r="864">
      <c r="C864" s="117"/>
    </row>
    <row r="865">
      <c r="C865" s="117"/>
    </row>
    <row r="866">
      <c r="C866" s="117"/>
    </row>
    <row r="867">
      <c r="C867" s="117"/>
    </row>
    <row r="868">
      <c r="C868" s="117"/>
    </row>
    <row r="869">
      <c r="C869" s="117"/>
    </row>
    <row r="870">
      <c r="C870" s="117"/>
    </row>
    <row r="871">
      <c r="C871" s="117"/>
    </row>
    <row r="872">
      <c r="C872" s="117"/>
    </row>
    <row r="873">
      <c r="C873" s="117"/>
    </row>
    <row r="874">
      <c r="C874" s="117"/>
    </row>
    <row r="875">
      <c r="C875" s="117"/>
    </row>
    <row r="876">
      <c r="C876" s="117"/>
    </row>
    <row r="877">
      <c r="C877" s="117"/>
    </row>
    <row r="878">
      <c r="C878" s="117"/>
    </row>
    <row r="879">
      <c r="C879" s="117"/>
    </row>
    <row r="880">
      <c r="C880" s="117"/>
    </row>
    <row r="881">
      <c r="C881" s="117"/>
    </row>
    <row r="882">
      <c r="C882" s="117"/>
    </row>
    <row r="883">
      <c r="C883" s="117"/>
    </row>
    <row r="884">
      <c r="C884" s="117"/>
    </row>
    <row r="885">
      <c r="C885" s="117"/>
    </row>
    <row r="886">
      <c r="C886" s="117"/>
    </row>
    <row r="887">
      <c r="C887" s="117"/>
    </row>
    <row r="888">
      <c r="C888" s="117"/>
    </row>
    <row r="889">
      <c r="C889" s="117"/>
    </row>
    <row r="890">
      <c r="C890" s="117"/>
    </row>
    <row r="891">
      <c r="C891" s="117"/>
    </row>
    <row r="892">
      <c r="C892" s="117"/>
    </row>
    <row r="893">
      <c r="C893" s="117"/>
    </row>
    <row r="894">
      <c r="C894" s="117"/>
    </row>
    <row r="895">
      <c r="C895" s="117"/>
    </row>
    <row r="896">
      <c r="C896" s="117"/>
    </row>
    <row r="897">
      <c r="C897" s="117"/>
    </row>
    <row r="898">
      <c r="C898" s="117"/>
    </row>
    <row r="899">
      <c r="C899" s="117"/>
    </row>
    <row r="900">
      <c r="C900" s="117"/>
    </row>
    <row r="901">
      <c r="C901" s="117"/>
    </row>
    <row r="902">
      <c r="C902" s="117"/>
    </row>
    <row r="903">
      <c r="C903" s="117"/>
    </row>
    <row r="904">
      <c r="C904" s="117"/>
    </row>
    <row r="905">
      <c r="C905" s="117"/>
    </row>
    <row r="906">
      <c r="C906" s="117"/>
    </row>
    <row r="907">
      <c r="C907" s="117"/>
    </row>
    <row r="908">
      <c r="C908" s="117"/>
    </row>
    <row r="909">
      <c r="C909" s="117"/>
    </row>
    <row r="910">
      <c r="C910" s="117"/>
    </row>
    <row r="911">
      <c r="C911" s="117"/>
    </row>
    <row r="912">
      <c r="C912" s="117"/>
    </row>
    <row r="913">
      <c r="C913" s="117"/>
    </row>
    <row r="914">
      <c r="C914" s="117"/>
    </row>
    <row r="915">
      <c r="C915" s="117"/>
    </row>
    <row r="916">
      <c r="C916" s="117"/>
    </row>
    <row r="917">
      <c r="C917" s="117"/>
    </row>
    <row r="918">
      <c r="C918" s="117"/>
    </row>
    <row r="919">
      <c r="C919" s="117"/>
    </row>
    <row r="920">
      <c r="C920" s="117"/>
    </row>
    <row r="921">
      <c r="C921" s="117"/>
    </row>
    <row r="922">
      <c r="C922" s="117"/>
    </row>
    <row r="923">
      <c r="C923" s="117"/>
    </row>
    <row r="924">
      <c r="C924" s="117"/>
    </row>
    <row r="925">
      <c r="C925" s="117"/>
    </row>
    <row r="926">
      <c r="C926" s="117"/>
    </row>
    <row r="927">
      <c r="C927" s="117"/>
    </row>
    <row r="928">
      <c r="C928" s="117"/>
    </row>
    <row r="929">
      <c r="C929" s="117"/>
    </row>
    <row r="930">
      <c r="C930" s="117"/>
    </row>
    <row r="931">
      <c r="C931" s="117"/>
    </row>
    <row r="932">
      <c r="C932" s="117"/>
    </row>
    <row r="933">
      <c r="C933" s="117"/>
    </row>
    <row r="934">
      <c r="C934" s="117"/>
    </row>
    <row r="935">
      <c r="C935" s="117"/>
    </row>
    <row r="936">
      <c r="C936" s="117"/>
    </row>
    <row r="937">
      <c r="C937" s="117"/>
    </row>
    <row r="938">
      <c r="C938" s="117"/>
    </row>
    <row r="939">
      <c r="C939" s="117"/>
    </row>
    <row r="940">
      <c r="C940" s="117"/>
    </row>
    <row r="941">
      <c r="C941" s="117"/>
    </row>
    <row r="942">
      <c r="C942" s="117"/>
    </row>
    <row r="943">
      <c r="C943" s="117"/>
    </row>
    <row r="944">
      <c r="C944" s="117"/>
    </row>
    <row r="945">
      <c r="C945" s="117"/>
    </row>
    <row r="946">
      <c r="C946" s="117"/>
    </row>
    <row r="947">
      <c r="C947" s="117"/>
    </row>
    <row r="948">
      <c r="C948" s="117"/>
    </row>
    <row r="949">
      <c r="C949" s="117"/>
    </row>
    <row r="950">
      <c r="C950" s="117"/>
    </row>
    <row r="951">
      <c r="C951" s="117"/>
    </row>
    <row r="952">
      <c r="C952" s="117"/>
    </row>
    <row r="953">
      <c r="C953" s="117"/>
    </row>
    <row r="954">
      <c r="C954" s="117"/>
    </row>
    <row r="955">
      <c r="C955" s="117"/>
    </row>
    <row r="956">
      <c r="C956" s="117"/>
    </row>
    <row r="957">
      <c r="C957" s="117"/>
    </row>
    <row r="958">
      <c r="C958" s="117"/>
    </row>
    <row r="959">
      <c r="C959" s="117"/>
    </row>
    <row r="960">
      <c r="C960" s="117"/>
    </row>
    <row r="961">
      <c r="C961" s="117"/>
    </row>
    <row r="962">
      <c r="C962" s="117"/>
    </row>
    <row r="963">
      <c r="C963" s="117"/>
    </row>
    <row r="964">
      <c r="C964" s="117"/>
    </row>
    <row r="965">
      <c r="C965" s="117"/>
    </row>
    <row r="966">
      <c r="C966" s="117"/>
    </row>
    <row r="967">
      <c r="C967" s="117"/>
    </row>
    <row r="968">
      <c r="C968" s="117"/>
    </row>
    <row r="969">
      <c r="C969" s="117"/>
    </row>
    <row r="970">
      <c r="C970" s="117"/>
    </row>
    <row r="971">
      <c r="C971" s="117"/>
    </row>
    <row r="972">
      <c r="C972" s="117"/>
    </row>
    <row r="973">
      <c r="C973" s="117"/>
    </row>
    <row r="974">
      <c r="C974" s="117"/>
    </row>
    <row r="975">
      <c r="C975" s="117"/>
    </row>
    <row r="976">
      <c r="C976" s="117"/>
    </row>
    <row r="977">
      <c r="C977" s="117"/>
    </row>
    <row r="978">
      <c r="C978" s="117"/>
    </row>
    <row r="979">
      <c r="C979" s="117"/>
    </row>
    <row r="980">
      <c r="C980" s="117"/>
    </row>
    <row r="981">
      <c r="C981" s="117"/>
    </row>
    <row r="982">
      <c r="C982" s="117"/>
    </row>
    <row r="983">
      <c r="C983" s="117"/>
    </row>
    <row r="984">
      <c r="C984" s="117"/>
    </row>
    <row r="985">
      <c r="C985" s="117"/>
    </row>
    <row r="986">
      <c r="C986" s="117"/>
    </row>
    <row r="987">
      <c r="C987" s="117"/>
    </row>
    <row r="988">
      <c r="C988" s="117"/>
    </row>
    <row r="989">
      <c r="C989" s="117"/>
    </row>
    <row r="990">
      <c r="C990" s="117"/>
    </row>
    <row r="991">
      <c r="C991" s="117"/>
    </row>
    <row r="992">
      <c r="C992" s="117"/>
    </row>
    <row r="993">
      <c r="C993" s="117"/>
    </row>
    <row r="994">
      <c r="C994" s="117"/>
    </row>
    <row r="995">
      <c r="C995" s="117"/>
    </row>
    <row r="996">
      <c r="C996" s="117"/>
    </row>
    <row r="997">
      <c r="C997" s="117"/>
    </row>
    <row r="998">
      <c r="C998" s="117"/>
    </row>
    <row r="999">
      <c r="C999" s="117"/>
    </row>
    <row r="1000">
      <c r="C1000" s="1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57"/>
  </cols>
  <sheetData>
    <row r="1">
      <c r="A1" s="179" t="s">
        <v>52</v>
      </c>
      <c r="B1" s="179" t="s">
        <v>57</v>
      </c>
      <c r="C1" s="180" t="s">
        <v>58</v>
      </c>
      <c r="D1" s="179" t="s">
        <v>59</v>
      </c>
    </row>
    <row r="2">
      <c r="A2" s="41" t="s">
        <v>89</v>
      </c>
      <c r="B2" s="41" t="s">
        <v>71</v>
      </c>
      <c r="C2" s="44">
        <v>2095940.27</v>
      </c>
      <c r="D2" s="41" t="s">
        <v>227</v>
      </c>
    </row>
    <row r="3">
      <c r="A3" s="41" t="s">
        <v>89</v>
      </c>
      <c r="B3" s="41" t="s">
        <v>73</v>
      </c>
      <c r="C3" s="44">
        <v>348261.03</v>
      </c>
      <c r="D3" s="41" t="s">
        <v>227</v>
      </c>
    </row>
    <row r="4">
      <c r="A4" s="41" t="s">
        <v>89</v>
      </c>
      <c r="B4" s="41" t="s">
        <v>74</v>
      </c>
      <c r="C4" s="44">
        <v>2444201.3</v>
      </c>
      <c r="D4" s="41" t="s">
        <v>227</v>
      </c>
    </row>
    <row r="5">
      <c r="A5" s="41" t="s">
        <v>85</v>
      </c>
      <c r="B5" s="41" t="s">
        <v>71</v>
      </c>
      <c r="C5" s="44">
        <v>2372766.75</v>
      </c>
      <c r="D5" s="41" t="s">
        <v>228</v>
      </c>
    </row>
    <row r="6">
      <c r="A6" s="41" t="s">
        <v>85</v>
      </c>
      <c r="B6" s="41" t="s">
        <v>73</v>
      </c>
      <c r="C6" s="44">
        <v>32062.42</v>
      </c>
      <c r="D6" s="41" t="s">
        <v>228</v>
      </c>
    </row>
    <row r="7">
      <c r="A7" s="41" t="s">
        <v>85</v>
      </c>
      <c r="B7" s="41" t="s">
        <v>74</v>
      </c>
      <c r="C7" s="44">
        <v>2404829.17</v>
      </c>
      <c r="D7" s="41" t="s">
        <v>228</v>
      </c>
    </row>
    <row r="8">
      <c r="A8" s="41" t="s">
        <v>108</v>
      </c>
      <c r="B8" s="41" t="s">
        <v>71</v>
      </c>
      <c r="C8" s="43">
        <v>3087340.2</v>
      </c>
      <c r="D8" s="41" t="s">
        <v>229</v>
      </c>
    </row>
    <row r="9">
      <c r="A9" s="41" t="s">
        <v>108</v>
      </c>
      <c r="B9" s="41" t="s">
        <v>73</v>
      </c>
      <c r="C9" s="44">
        <v>50874.54</v>
      </c>
      <c r="D9" s="41" t="s">
        <v>229</v>
      </c>
    </row>
    <row r="10">
      <c r="A10" s="41" t="s">
        <v>108</v>
      </c>
      <c r="B10" s="41" t="s">
        <v>74</v>
      </c>
      <c r="C10" s="44">
        <f>C8+C9</f>
        <v>3138214.74</v>
      </c>
      <c r="D10" s="41" t="s">
        <v>229</v>
      </c>
    </row>
    <row r="11">
      <c r="A11" s="41" t="s">
        <v>105</v>
      </c>
      <c r="B11" s="41" t="s">
        <v>71</v>
      </c>
      <c r="C11" s="44">
        <v>1.129469957E7</v>
      </c>
      <c r="D11" s="41" t="s">
        <v>230</v>
      </c>
    </row>
    <row r="12">
      <c r="A12" s="41" t="s">
        <v>105</v>
      </c>
      <c r="B12" s="41" t="s">
        <v>73</v>
      </c>
      <c r="C12" s="44">
        <v>0.0</v>
      </c>
      <c r="D12" s="41" t="s">
        <v>230</v>
      </c>
    </row>
    <row r="13">
      <c r="A13" s="41" t="s">
        <v>105</v>
      </c>
      <c r="B13" s="41" t="s">
        <v>74</v>
      </c>
      <c r="C13" s="44">
        <f>C11+C12</f>
        <v>11294699.57</v>
      </c>
      <c r="D13" s="41" t="s">
        <v>230</v>
      </c>
    </row>
    <row r="14">
      <c r="A14" s="41" t="s">
        <v>91</v>
      </c>
      <c r="B14" s="41" t="s">
        <v>71</v>
      </c>
      <c r="C14" s="44">
        <v>1301979.65</v>
      </c>
      <c r="D14" s="41" t="s">
        <v>231</v>
      </c>
    </row>
    <row r="15">
      <c r="A15" s="41" t="s">
        <v>91</v>
      </c>
      <c r="B15" s="41" t="s">
        <v>73</v>
      </c>
      <c r="C15" s="44">
        <v>24394.91</v>
      </c>
      <c r="D15" s="41" t="s">
        <v>231</v>
      </c>
    </row>
    <row r="16">
      <c r="A16" s="41" t="s">
        <v>91</v>
      </c>
      <c r="B16" s="41" t="s">
        <v>74</v>
      </c>
      <c r="C16" s="44">
        <v>1326374.56</v>
      </c>
      <c r="D16" s="41" t="s">
        <v>231</v>
      </c>
    </row>
    <row r="17">
      <c r="A17" s="41" t="s">
        <v>83</v>
      </c>
      <c r="B17" s="41" t="s">
        <v>71</v>
      </c>
      <c r="C17" s="44">
        <v>4209142.2</v>
      </c>
      <c r="D17" s="41" t="s">
        <v>232</v>
      </c>
    </row>
    <row r="18">
      <c r="A18" s="41" t="s">
        <v>83</v>
      </c>
      <c r="B18" s="41" t="s">
        <v>73</v>
      </c>
      <c r="C18" s="44">
        <v>0.0</v>
      </c>
      <c r="D18" s="41" t="s">
        <v>232</v>
      </c>
    </row>
    <row r="19">
      <c r="A19" s="41" t="s">
        <v>83</v>
      </c>
      <c r="B19" s="41" t="s">
        <v>74</v>
      </c>
      <c r="C19" s="44">
        <v>4209142.2</v>
      </c>
      <c r="D19" s="41" t="s">
        <v>232</v>
      </c>
    </row>
    <row r="20">
      <c r="A20" s="41" t="s">
        <v>138</v>
      </c>
      <c r="B20" s="41" t="s">
        <v>71</v>
      </c>
      <c r="C20" s="44">
        <v>1484963.46</v>
      </c>
      <c r="D20" s="41" t="s">
        <v>233</v>
      </c>
    </row>
    <row r="21">
      <c r="A21" s="41" t="s">
        <v>138</v>
      </c>
      <c r="B21" s="41" t="s">
        <v>73</v>
      </c>
      <c r="C21" s="44">
        <v>1988.36</v>
      </c>
      <c r="D21" s="41" t="s">
        <v>233</v>
      </c>
    </row>
    <row r="22">
      <c r="A22" s="41" t="s">
        <v>138</v>
      </c>
      <c r="B22" s="41" t="s">
        <v>74</v>
      </c>
      <c r="C22" s="44">
        <v>1486951.82</v>
      </c>
      <c r="D22" s="41" t="s">
        <v>233</v>
      </c>
    </row>
    <row r="23">
      <c r="A23" s="41" t="s">
        <v>68</v>
      </c>
      <c r="B23" s="41" t="s">
        <v>71</v>
      </c>
      <c r="C23" s="44">
        <v>4095983.79</v>
      </c>
      <c r="D23" s="41" t="s">
        <v>234</v>
      </c>
    </row>
    <row r="24">
      <c r="A24" s="41" t="s">
        <v>68</v>
      </c>
      <c r="B24" s="41" t="s">
        <v>73</v>
      </c>
      <c r="C24" s="44">
        <v>88460.21</v>
      </c>
      <c r="D24" s="41" t="s">
        <v>234</v>
      </c>
    </row>
    <row r="25">
      <c r="A25" s="41" t="s">
        <v>68</v>
      </c>
      <c r="B25" s="41" t="s">
        <v>74</v>
      </c>
      <c r="C25" s="44">
        <v>4184444.0</v>
      </c>
      <c r="D25" s="41" t="s">
        <v>234</v>
      </c>
    </row>
    <row r="26">
      <c r="A26" s="41" t="s">
        <v>94</v>
      </c>
      <c r="B26" s="41" t="s">
        <v>71</v>
      </c>
      <c r="C26" s="44">
        <v>2473635.1</v>
      </c>
      <c r="D26" s="41" t="s">
        <v>235</v>
      </c>
    </row>
    <row r="27">
      <c r="A27" s="41" t="s">
        <v>94</v>
      </c>
      <c r="B27" s="41" t="s">
        <v>73</v>
      </c>
      <c r="C27" s="44">
        <v>18404.39</v>
      </c>
      <c r="D27" s="41" t="s">
        <v>235</v>
      </c>
    </row>
    <row r="28">
      <c r="A28" s="41" t="s">
        <v>94</v>
      </c>
      <c r="B28" s="41" t="s">
        <v>74</v>
      </c>
      <c r="C28" s="44">
        <v>2492039.49</v>
      </c>
      <c r="D28" s="41" t="s">
        <v>235</v>
      </c>
    </row>
    <row r="29">
      <c r="A29" s="41" t="s">
        <v>141</v>
      </c>
      <c r="B29" s="41" t="s">
        <v>71</v>
      </c>
      <c r="C29" s="44">
        <v>4906552.8</v>
      </c>
      <c r="D29" s="41" t="s">
        <v>236</v>
      </c>
    </row>
    <row r="30">
      <c r="A30" s="41" t="s">
        <v>141</v>
      </c>
      <c r="B30" s="41" t="s">
        <v>73</v>
      </c>
      <c r="C30" s="44">
        <v>0.0</v>
      </c>
      <c r="D30" s="41" t="s">
        <v>236</v>
      </c>
    </row>
    <row r="31">
      <c r="A31" s="41" t="s">
        <v>141</v>
      </c>
      <c r="B31" s="41" t="s">
        <v>74</v>
      </c>
      <c r="C31" s="44">
        <v>4906552.8</v>
      </c>
      <c r="D31" s="41" t="s">
        <v>236</v>
      </c>
    </row>
    <row r="32">
      <c r="A32" s="41" t="s">
        <v>95</v>
      </c>
      <c r="B32" s="41" t="s">
        <v>71</v>
      </c>
      <c r="C32" s="44">
        <v>2361908.21</v>
      </c>
      <c r="D32" s="41" t="s">
        <v>237</v>
      </c>
    </row>
    <row r="33">
      <c r="A33" s="41" t="s">
        <v>95</v>
      </c>
      <c r="B33" s="41" t="s">
        <v>73</v>
      </c>
      <c r="C33" s="44">
        <v>0.0</v>
      </c>
      <c r="D33" s="41" t="s">
        <v>237</v>
      </c>
    </row>
    <row r="34">
      <c r="A34" s="41" t="s">
        <v>95</v>
      </c>
      <c r="B34" s="41" t="s">
        <v>74</v>
      </c>
      <c r="C34" s="44">
        <v>2361908.21</v>
      </c>
      <c r="D34" s="41" t="s">
        <v>237</v>
      </c>
    </row>
    <row r="35">
      <c r="A35" s="41" t="s">
        <v>106</v>
      </c>
      <c r="B35" s="41" t="s">
        <v>71</v>
      </c>
      <c r="C35" s="44">
        <v>3806408.03</v>
      </c>
      <c r="D35" s="41" t="s">
        <v>238</v>
      </c>
    </row>
    <row r="36">
      <c r="A36" s="41" t="s">
        <v>106</v>
      </c>
      <c r="B36" s="41" t="s">
        <v>73</v>
      </c>
      <c r="C36" s="44">
        <v>0.0</v>
      </c>
      <c r="D36" s="41" t="s">
        <v>238</v>
      </c>
    </row>
    <row r="37">
      <c r="A37" s="41" t="s">
        <v>106</v>
      </c>
      <c r="B37" s="41" t="s">
        <v>74</v>
      </c>
      <c r="C37" s="44">
        <v>3806408.03</v>
      </c>
      <c r="D37" s="41" t="s">
        <v>238</v>
      </c>
    </row>
    <row r="38">
      <c r="A38" s="41" t="s">
        <v>90</v>
      </c>
      <c r="B38" s="41" t="s">
        <v>71</v>
      </c>
      <c r="C38" s="44">
        <v>2221685.11</v>
      </c>
      <c r="D38" s="41" t="s">
        <v>239</v>
      </c>
    </row>
    <row r="39">
      <c r="A39" s="41" t="s">
        <v>90</v>
      </c>
      <c r="B39" s="41" t="s">
        <v>73</v>
      </c>
      <c r="C39" s="44">
        <v>15923.39</v>
      </c>
      <c r="D39" s="41" t="s">
        <v>239</v>
      </c>
    </row>
    <row r="40">
      <c r="A40" s="41" t="s">
        <v>90</v>
      </c>
      <c r="B40" s="41" t="s">
        <v>74</v>
      </c>
      <c r="C40" s="44">
        <v>2237608.5</v>
      </c>
      <c r="D40" s="41" t="s">
        <v>239</v>
      </c>
    </row>
    <row r="41">
      <c r="A41" s="41" t="s">
        <v>128</v>
      </c>
      <c r="B41" s="41" t="s">
        <v>71</v>
      </c>
      <c r="C41" s="44">
        <v>5.078448502E7</v>
      </c>
      <c r="D41" s="41" t="s">
        <v>240</v>
      </c>
    </row>
    <row r="42">
      <c r="A42" s="41" t="s">
        <v>128</v>
      </c>
      <c r="B42" s="41" t="s">
        <v>73</v>
      </c>
      <c r="C42" s="44">
        <v>0.0</v>
      </c>
      <c r="D42" s="41" t="s">
        <v>240</v>
      </c>
    </row>
    <row r="43">
      <c r="A43" s="41" t="s">
        <v>128</v>
      </c>
      <c r="B43" s="41" t="s">
        <v>74</v>
      </c>
      <c r="C43" s="44">
        <v>5.078448502E7</v>
      </c>
      <c r="D43" s="41" t="s">
        <v>240</v>
      </c>
    </row>
    <row r="44">
      <c r="A44" s="41" t="s">
        <v>126</v>
      </c>
      <c r="B44" s="41" t="s">
        <v>71</v>
      </c>
      <c r="C44" s="44">
        <v>4932517.23</v>
      </c>
      <c r="D44" s="41" t="s">
        <v>241</v>
      </c>
    </row>
    <row r="45">
      <c r="A45" s="41" t="s">
        <v>126</v>
      </c>
      <c r="B45" s="41" t="s">
        <v>73</v>
      </c>
      <c r="C45" s="44">
        <v>0.0</v>
      </c>
      <c r="D45" s="41" t="s">
        <v>241</v>
      </c>
    </row>
    <row r="46">
      <c r="A46" s="41" t="s">
        <v>126</v>
      </c>
      <c r="B46" s="41" t="s">
        <v>74</v>
      </c>
      <c r="C46" s="44">
        <v>4932517.23</v>
      </c>
      <c r="D46" s="41" t="s">
        <v>241</v>
      </c>
    </row>
    <row r="47">
      <c r="A47" s="41" t="s">
        <v>88</v>
      </c>
      <c r="B47" s="41" t="s">
        <v>71</v>
      </c>
      <c r="C47" s="44">
        <v>1516423.89</v>
      </c>
      <c r="D47" s="41" t="s">
        <v>242</v>
      </c>
    </row>
    <row r="48">
      <c r="A48" s="41" t="s">
        <v>88</v>
      </c>
      <c r="B48" s="41" t="s">
        <v>73</v>
      </c>
      <c r="C48" s="44">
        <v>10686.82</v>
      </c>
      <c r="D48" s="41" t="s">
        <v>242</v>
      </c>
    </row>
    <row r="49">
      <c r="A49" s="41" t="s">
        <v>88</v>
      </c>
      <c r="B49" s="41" t="s">
        <v>74</v>
      </c>
      <c r="C49" s="44">
        <v>1527110.71</v>
      </c>
      <c r="D49" s="41" t="s">
        <v>242</v>
      </c>
    </row>
    <row r="50">
      <c r="A50" s="41" t="s">
        <v>101</v>
      </c>
      <c r="B50" s="41" t="s">
        <v>71</v>
      </c>
      <c r="C50" s="44">
        <v>3375148.4</v>
      </c>
      <c r="D50" s="41" t="s">
        <v>243</v>
      </c>
    </row>
    <row r="51">
      <c r="A51" s="41" t="s">
        <v>101</v>
      </c>
      <c r="B51" s="41" t="s">
        <v>73</v>
      </c>
      <c r="C51" s="44">
        <v>0.0</v>
      </c>
      <c r="D51" s="41" t="s">
        <v>243</v>
      </c>
    </row>
    <row r="52">
      <c r="A52" s="41" t="s">
        <v>101</v>
      </c>
      <c r="B52" s="41" t="s">
        <v>74</v>
      </c>
      <c r="C52" s="44">
        <v>3375148.4</v>
      </c>
      <c r="D52" s="41" t="s">
        <v>243</v>
      </c>
    </row>
    <row r="53">
      <c r="A53" s="41" t="s">
        <v>98</v>
      </c>
      <c r="B53" s="41" t="s">
        <v>71</v>
      </c>
      <c r="C53" s="44">
        <v>2034790.15</v>
      </c>
      <c r="D53" s="41" t="s">
        <v>244</v>
      </c>
    </row>
    <row r="54">
      <c r="A54" s="41" t="s">
        <v>98</v>
      </c>
      <c r="B54" s="41" t="s">
        <v>73</v>
      </c>
      <c r="C54" s="44">
        <v>625.52</v>
      </c>
      <c r="D54" s="41" t="s">
        <v>244</v>
      </c>
    </row>
    <row r="55">
      <c r="A55" s="41" t="s">
        <v>98</v>
      </c>
      <c r="B55" s="41" t="s">
        <v>74</v>
      </c>
      <c r="C55" s="44">
        <f>C54+C53</f>
        <v>2035415.67</v>
      </c>
      <c r="D55" s="41" t="s">
        <v>244</v>
      </c>
    </row>
    <row r="56">
      <c r="A56" s="41" t="s">
        <v>78</v>
      </c>
      <c r="B56" s="41" t="s">
        <v>71</v>
      </c>
      <c r="C56" s="44">
        <v>2716852.37</v>
      </c>
      <c r="D56" s="41" t="s">
        <v>245</v>
      </c>
    </row>
    <row r="57">
      <c r="A57" s="41" t="s">
        <v>78</v>
      </c>
      <c r="B57" s="41" t="s">
        <v>73</v>
      </c>
      <c r="C57" s="44">
        <v>4102.6</v>
      </c>
      <c r="D57" s="41" t="s">
        <v>245</v>
      </c>
    </row>
    <row r="58">
      <c r="A58" s="41" t="s">
        <v>78</v>
      </c>
      <c r="B58" s="41" t="s">
        <v>74</v>
      </c>
      <c r="C58" s="44">
        <v>2720954.97</v>
      </c>
      <c r="D58" s="41" t="s">
        <v>245</v>
      </c>
    </row>
    <row r="59">
      <c r="C59" s="117"/>
    </row>
    <row r="60">
      <c r="C60" s="117"/>
    </row>
    <row r="61">
      <c r="C61" s="117"/>
    </row>
    <row r="62">
      <c r="C62" s="117"/>
    </row>
    <row r="63">
      <c r="C63" s="117"/>
    </row>
    <row r="64">
      <c r="C64" s="117"/>
    </row>
    <row r="65">
      <c r="C65" s="117"/>
    </row>
    <row r="66">
      <c r="C66" s="117"/>
    </row>
    <row r="67">
      <c r="C67" s="117"/>
    </row>
    <row r="68">
      <c r="C68" s="117"/>
    </row>
    <row r="69">
      <c r="C69" s="117"/>
    </row>
    <row r="70">
      <c r="C70" s="117"/>
    </row>
    <row r="71">
      <c r="C71" s="117"/>
    </row>
    <row r="72">
      <c r="C72" s="117"/>
    </row>
    <row r="73">
      <c r="C73" s="117"/>
    </row>
    <row r="74">
      <c r="C74" s="117"/>
    </row>
    <row r="75">
      <c r="C75" s="117"/>
    </row>
    <row r="76">
      <c r="C76" s="117"/>
    </row>
    <row r="77">
      <c r="C77" s="117"/>
    </row>
    <row r="78">
      <c r="C78" s="117"/>
    </row>
    <row r="79">
      <c r="C79" s="117"/>
    </row>
    <row r="80">
      <c r="C80" s="117"/>
    </row>
    <row r="81">
      <c r="C81" s="117"/>
    </row>
    <row r="82">
      <c r="C82" s="117"/>
    </row>
    <row r="83">
      <c r="C83" s="117"/>
    </row>
    <row r="84">
      <c r="C84" s="117"/>
    </row>
    <row r="85">
      <c r="C85" s="117"/>
    </row>
    <row r="86">
      <c r="C86" s="117"/>
    </row>
    <row r="87">
      <c r="C87" s="117"/>
    </row>
    <row r="88">
      <c r="C88" s="117"/>
    </row>
    <row r="89">
      <c r="C89" s="117"/>
    </row>
    <row r="90">
      <c r="C90" s="117"/>
    </row>
    <row r="91">
      <c r="C91" s="117"/>
    </row>
    <row r="92">
      <c r="C92" s="117"/>
    </row>
    <row r="93">
      <c r="C93" s="117"/>
    </row>
    <row r="94">
      <c r="C94" s="117"/>
    </row>
    <row r="95">
      <c r="C95" s="117"/>
    </row>
    <row r="96">
      <c r="C96" s="117"/>
    </row>
    <row r="97">
      <c r="C97" s="117"/>
    </row>
    <row r="98">
      <c r="C98" s="117"/>
    </row>
    <row r="99">
      <c r="C99" s="117"/>
    </row>
    <row r="100">
      <c r="C100" s="117"/>
    </row>
    <row r="101">
      <c r="C101" s="117"/>
    </row>
    <row r="102">
      <c r="C102" s="117"/>
    </row>
    <row r="103">
      <c r="C103" s="117"/>
    </row>
    <row r="104">
      <c r="C104" s="117"/>
    </row>
    <row r="105">
      <c r="C105" s="117"/>
    </row>
    <row r="106">
      <c r="C106" s="117"/>
    </row>
    <row r="107">
      <c r="C107" s="117"/>
    </row>
    <row r="108">
      <c r="C108" s="117"/>
    </row>
    <row r="109">
      <c r="C109" s="117"/>
    </row>
    <row r="110">
      <c r="C110" s="117"/>
    </row>
    <row r="111">
      <c r="C111" s="117"/>
    </row>
    <row r="112">
      <c r="C112" s="117"/>
    </row>
    <row r="113">
      <c r="C113" s="117"/>
    </row>
    <row r="114">
      <c r="C114" s="117"/>
    </row>
    <row r="115">
      <c r="C115" s="117"/>
    </row>
    <row r="116">
      <c r="C116" s="117"/>
    </row>
    <row r="117">
      <c r="C117" s="117"/>
    </row>
    <row r="118">
      <c r="C118" s="117"/>
    </row>
    <row r="119">
      <c r="C119" s="117"/>
    </row>
    <row r="120">
      <c r="C120" s="117"/>
    </row>
    <row r="121">
      <c r="C121" s="117"/>
    </row>
    <row r="122">
      <c r="C122" s="117"/>
    </row>
    <row r="123">
      <c r="C123" s="117"/>
    </row>
    <row r="124">
      <c r="C124" s="117"/>
    </row>
    <row r="125">
      <c r="C125" s="117"/>
    </row>
    <row r="126">
      <c r="C126" s="117"/>
    </row>
    <row r="127">
      <c r="C127" s="117"/>
    </row>
    <row r="128">
      <c r="C128" s="117"/>
    </row>
    <row r="129">
      <c r="C129" s="117"/>
    </row>
    <row r="130">
      <c r="C130" s="117"/>
    </row>
    <row r="131">
      <c r="C131" s="117"/>
    </row>
    <row r="132">
      <c r="C132" s="117"/>
    </row>
    <row r="133">
      <c r="C133" s="117"/>
    </row>
    <row r="134">
      <c r="C134" s="117"/>
    </row>
    <row r="135">
      <c r="C135" s="117"/>
    </row>
    <row r="136">
      <c r="C136" s="117"/>
    </row>
    <row r="137">
      <c r="C137" s="117"/>
    </row>
    <row r="138">
      <c r="C138" s="117"/>
    </row>
    <row r="139">
      <c r="C139" s="117"/>
    </row>
    <row r="140">
      <c r="C140" s="117"/>
    </row>
    <row r="141">
      <c r="C141" s="117"/>
    </row>
    <row r="142">
      <c r="C142" s="117"/>
    </row>
    <row r="143">
      <c r="C143" s="117"/>
    </row>
    <row r="144">
      <c r="C144" s="117"/>
    </row>
    <row r="145">
      <c r="C145" s="117"/>
    </row>
    <row r="146">
      <c r="C146" s="117"/>
    </row>
    <row r="147">
      <c r="C147" s="117"/>
    </row>
    <row r="148">
      <c r="C148" s="117"/>
    </row>
    <row r="149">
      <c r="C149" s="117"/>
    </row>
    <row r="150">
      <c r="C150" s="117"/>
    </row>
    <row r="151">
      <c r="C151" s="117"/>
    </row>
    <row r="152">
      <c r="C152" s="117"/>
    </row>
    <row r="153">
      <c r="C153" s="117"/>
    </row>
    <row r="154">
      <c r="C154" s="117"/>
    </row>
    <row r="155">
      <c r="C155" s="117"/>
    </row>
    <row r="156">
      <c r="C156" s="117"/>
    </row>
    <row r="157">
      <c r="C157" s="117"/>
    </row>
    <row r="158">
      <c r="C158" s="117"/>
    </row>
    <row r="159">
      <c r="C159" s="117"/>
    </row>
    <row r="160">
      <c r="C160" s="117"/>
    </row>
    <row r="161">
      <c r="C161" s="117"/>
    </row>
    <row r="162">
      <c r="C162" s="117"/>
    </row>
    <row r="163">
      <c r="C163" s="117"/>
    </row>
    <row r="164">
      <c r="C164" s="117"/>
    </row>
    <row r="165">
      <c r="C165" s="117"/>
    </row>
    <row r="166">
      <c r="C166" s="117"/>
    </row>
    <row r="167">
      <c r="C167" s="117"/>
    </row>
    <row r="168">
      <c r="C168" s="117"/>
    </row>
    <row r="169">
      <c r="C169" s="117"/>
    </row>
    <row r="170">
      <c r="C170" s="117"/>
    </row>
    <row r="171">
      <c r="C171" s="117"/>
    </row>
    <row r="172">
      <c r="C172" s="117"/>
    </row>
    <row r="173">
      <c r="C173" s="117"/>
    </row>
    <row r="174">
      <c r="C174" s="117"/>
    </row>
    <row r="175">
      <c r="C175" s="117"/>
    </row>
    <row r="176">
      <c r="C176" s="117"/>
    </row>
    <row r="177">
      <c r="C177" s="117"/>
    </row>
    <row r="178">
      <c r="C178" s="117"/>
    </row>
    <row r="179">
      <c r="C179" s="117"/>
    </row>
    <row r="180">
      <c r="C180" s="117"/>
    </row>
    <row r="181">
      <c r="C181" s="117"/>
    </row>
    <row r="182">
      <c r="C182" s="117"/>
    </row>
    <row r="183">
      <c r="C183" s="117"/>
    </row>
    <row r="184">
      <c r="C184" s="117"/>
    </row>
    <row r="185">
      <c r="C185" s="117"/>
    </row>
    <row r="186">
      <c r="C186" s="117"/>
    </row>
    <row r="187">
      <c r="C187" s="117"/>
    </row>
    <row r="188">
      <c r="C188" s="117"/>
    </row>
    <row r="189">
      <c r="C189" s="117"/>
    </row>
    <row r="190">
      <c r="C190" s="117"/>
    </row>
    <row r="191">
      <c r="C191" s="117"/>
    </row>
    <row r="192">
      <c r="C192" s="117"/>
    </row>
    <row r="193">
      <c r="C193" s="117"/>
    </row>
    <row r="194">
      <c r="C194" s="117"/>
    </row>
    <row r="195">
      <c r="C195" s="117"/>
    </row>
    <row r="196">
      <c r="C196" s="117"/>
    </row>
    <row r="197">
      <c r="C197" s="117"/>
    </row>
    <row r="198">
      <c r="C198" s="117"/>
    </row>
    <row r="199">
      <c r="C199" s="117"/>
    </row>
    <row r="200">
      <c r="C200" s="117"/>
    </row>
    <row r="201">
      <c r="C201" s="117"/>
    </row>
    <row r="202">
      <c r="C202" s="117"/>
    </row>
    <row r="203">
      <c r="C203" s="117"/>
    </row>
    <row r="204">
      <c r="C204" s="117"/>
    </row>
    <row r="205">
      <c r="C205" s="117"/>
    </row>
    <row r="206">
      <c r="C206" s="117"/>
    </row>
    <row r="207">
      <c r="C207" s="117"/>
    </row>
    <row r="208">
      <c r="C208" s="117"/>
    </row>
    <row r="209">
      <c r="C209" s="117"/>
    </row>
    <row r="210">
      <c r="C210" s="117"/>
    </row>
    <row r="211">
      <c r="C211" s="117"/>
    </row>
    <row r="212">
      <c r="C212" s="117"/>
    </row>
    <row r="213">
      <c r="C213" s="117"/>
    </row>
    <row r="214">
      <c r="C214" s="117"/>
    </row>
    <row r="215">
      <c r="C215" s="117"/>
    </row>
    <row r="216">
      <c r="C216" s="117"/>
    </row>
    <row r="217">
      <c r="C217" s="117"/>
    </row>
    <row r="218">
      <c r="C218" s="117"/>
    </row>
    <row r="219">
      <c r="C219" s="117"/>
    </row>
    <row r="220">
      <c r="C220" s="117"/>
    </row>
    <row r="221">
      <c r="C221" s="117"/>
    </row>
    <row r="222">
      <c r="C222" s="117"/>
    </row>
    <row r="223">
      <c r="C223" s="117"/>
    </row>
    <row r="224">
      <c r="C224" s="117"/>
    </row>
    <row r="225">
      <c r="C225" s="117"/>
    </row>
    <row r="226">
      <c r="C226" s="117"/>
    </row>
    <row r="227">
      <c r="C227" s="117"/>
    </row>
    <row r="228">
      <c r="C228" s="117"/>
    </row>
    <row r="229">
      <c r="C229" s="117"/>
    </row>
    <row r="230">
      <c r="C230" s="117"/>
    </row>
    <row r="231">
      <c r="C231" s="117"/>
    </row>
    <row r="232">
      <c r="C232" s="117"/>
    </row>
    <row r="233">
      <c r="C233" s="117"/>
    </row>
    <row r="234">
      <c r="C234" s="117"/>
    </row>
    <row r="235">
      <c r="C235" s="117"/>
    </row>
    <row r="236">
      <c r="C236" s="117"/>
    </row>
    <row r="237">
      <c r="C237" s="117"/>
    </row>
    <row r="238">
      <c r="C238" s="117"/>
    </row>
    <row r="239">
      <c r="C239" s="117"/>
    </row>
    <row r="240">
      <c r="C240" s="117"/>
    </row>
    <row r="241">
      <c r="C241" s="117"/>
    </row>
    <row r="242">
      <c r="C242" s="117"/>
    </row>
    <row r="243">
      <c r="C243" s="117"/>
    </row>
    <row r="244">
      <c r="C244" s="117"/>
    </row>
    <row r="245">
      <c r="C245" s="117"/>
    </row>
    <row r="246">
      <c r="C246" s="117"/>
    </row>
    <row r="247">
      <c r="C247" s="117"/>
    </row>
    <row r="248">
      <c r="C248" s="117"/>
    </row>
    <row r="249">
      <c r="C249" s="117"/>
    </row>
    <row r="250">
      <c r="C250" s="117"/>
    </row>
    <row r="251">
      <c r="C251" s="117"/>
    </row>
    <row r="252">
      <c r="C252" s="117"/>
    </row>
    <row r="253">
      <c r="C253" s="117"/>
    </row>
    <row r="254">
      <c r="C254" s="117"/>
    </row>
    <row r="255">
      <c r="C255" s="117"/>
    </row>
    <row r="256">
      <c r="C256" s="117"/>
    </row>
    <row r="257">
      <c r="C257" s="117"/>
    </row>
    <row r="258">
      <c r="C258" s="117"/>
    </row>
    <row r="259">
      <c r="C259" s="117"/>
    </row>
    <row r="260">
      <c r="C260" s="117"/>
    </row>
    <row r="261">
      <c r="C261" s="117"/>
    </row>
    <row r="262">
      <c r="C262" s="117"/>
    </row>
    <row r="263">
      <c r="C263" s="117"/>
    </row>
    <row r="264">
      <c r="C264" s="117"/>
    </row>
    <row r="265">
      <c r="C265" s="117"/>
    </row>
    <row r="266">
      <c r="C266" s="117"/>
    </row>
    <row r="267">
      <c r="C267" s="117"/>
    </row>
    <row r="268">
      <c r="C268" s="117"/>
    </row>
    <row r="269">
      <c r="C269" s="117"/>
    </row>
    <row r="270">
      <c r="C270" s="117"/>
    </row>
    <row r="271">
      <c r="C271" s="117"/>
    </row>
    <row r="272">
      <c r="C272" s="117"/>
    </row>
    <row r="273">
      <c r="C273" s="117"/>
    </row>
    <row r="274">
      <c r="C274" s="117"/>
    </row>
    <row r="275">
      <c r="C275" s="117"/>
    </row>
    <row r="276">
      <c r="C276" s="117"/>
    </row>
    <row r="277">
      <c r="C277" s="117"/>
    </row>
    <row r="278">
      <c r="C278" s="117"/>
    </row>
    <row r="279">
      <c r="C279" s="117"/>
    </row>
    <row r="280">
      <c r="C280" s="117"/>
    </row>
    <row r="281">
      <c r="C281" s="117"/>
    </row>
    <row r="282">
      <c r="C282" s="117"/>
    </row>
    <row r="283">
      <c r="C283" s="117"/>
    </row>
    <row r="284">
      <c r="C284" s="117"/>
    </row>
    <row r="285">
      <c r="C285" s="117"/>
    </row>
    <row r="286">
      <c r="C286" s="117"/>
    </row>
    <row r="287">
      <c r="C287" s="117"/>
    </row>
    <row r="288">
      <c r="C288" s="117"/>
    </row>
    <row r="289">
      <c r="C289" s="117"/>
    </row>
    <row r="290">
      <c r="C290" s="117"/>
    </row>
    <row r="291">
      <c r="C291" s="117"/>
    </row>
    <row r="292">
      <c r="C292" s="117"/>
    </row>
    <row r="293">
      <c r="C293" s="117"/>
    </row>
    <row r="294">
      <c r="C294" s="117"/>
    </row>
    <row r="295">
      <c r="C295" s="117"/>
    </row>
    <row r="296">
      <c r="C296" s="117"/>
    </row>
    <row r="297">
      <c r="C297" s="117"/>
    </row>
    <row r="298">
      <c r="C298" s="117"/>
    </row>
    <row r="299">
      <c r="C299" s="117"/>
    </row>
    <row r="300">
      <c r="C300" s="117"/>
    </row>
    <row r="301">
      <c r="C301" s="117"/>
    </row>
    <row r="302">
      <c r="C302" s="117"/>
    </row>
    <row r="303">
      <c r="C303" s="117"/>
    </row>
    <row r="304">
      <c r="C304" s="117"/>
    </row>
    <row r="305">
      <c r="C305" s="117"/>
    </row>
    <row r="306">
      <c r="C306" s="117"/>
    </row>
    <row r="307">
      <c r="C307" s="117"/>
    </row>
    <row r="308">
      <c r="C308" s="117"/>
    </row>
    <row r="309">
      <c r="C309" s="117"/>
    </row>
    <row r="310">
      <c r="C310" s="117"/>
    </row>
    <row r="311">
      <c r="C311" s="117"/>
    </row>
    <row r="312">
      <c r="C312" s="117"/>
    </row>
    <row r="313">
      <c r="C313" s="117"/>
    </row>
    <row r="314">
      <c r="C314" s="117"/>
    </row>
    <row r="315">
      <c r="C315" s="117"/>
    </row>
    <row r="316">
      <c r="C316" s="117"/>
    </row>
    <row r="317">
      <c r="C317" s="117"/>
    </row>
    <row r="318">
      <c r="C318" s="117"/>
    </row>
    <row r="319">
      <c r="C319" s="117"/>
    </row>
    <row r="320">
      <c r="C320" s="117"/>
    </row>
    <row r="321">
      <c r="C321" s="117"/>
    </row>
    <row r="322">
      <c r="C322" s="117"/>
    </row>
    <row r="323">
      <c r="C323" s="117"/>
    </row>
    <row r="324">
      <c r="C324" s="117"/>
    </row>
    <row r="325">
      <c r="C325" s="117"/>
    </row>
    <row r="326">
      <c r="C326" s="117"/>
    </row>
    <row r="327">
      <c r="C327" s="117"/>
    </row>
    <row r="328">
      <c r="C328" s="117"/>
    </row>
    <row r="329">
      <c r="C329" s="117"/>
    </row>
    <row r="330">
      <c r="C330" s="117"/>
    </row>
    <row r="331">
      <c r="C331" s="117"/>
    </row>
    <row r="332">
      <c r="C332" s="117"/>
    </row>
    <row r="333">
      <c r="C333" s="117"/>
    </row>
    <row r="334">
      <c r="C334" s="117"/>
    </row>
    <row r="335">
      <c r="C335" s="117"/>
    </row>
    <row r="336">
      <c r="C336" s="117"/>
    </row>
    <row r="337">
      <c r="C337" s="117"/>
    </row>
    <row r="338">
      <c r="C338" s="117"/>
    </row>
    <row r="339">
      <c r="C339" s="117"/>
    </row>
    <row r="340">
      <c r="C340" s="117"/>
    </row>
    <row r="341">
      <c r="C341" s="117"/>
    </row>
    <row r="342">
      <c r="C342" s="117"/>
    </row>
    <row r="343">
      <c r="C343" s="117"/>
    </row>
    <row r="344">
      <c r="C344" s="117"/>
    </row>
    <row r="345">
      <c r="C345" s="117"/>
    </row>
    <row r="346">
      <c r="C346" s="117"/>
    </row>
    <row r="347">
      <c r="C347" s="117"/>
    </row>
    <row r="348">
      <c r="C348" s="117"/>
    </row>
    <row r="349">
      <c r="C349" s="117"/>
    </row>
    <row r="350">
      <c r="C350" s="117"/>
    </row>
    <row r="351">
      <c r="C351" s="117"/>
    </row>
    <row r="352">
      <c r="C352" s="117"/>
    </row>
    <row r="353">
      <c r="C353" s="117"/>
    </row>
    <row r="354">
      <c r="C354" s="117"/>
    </row>
    <row r="355">
      <c r="C355" s="117"/>
    </row>
    <row r="356">
      <c r="C356" s="117"/>
    </row>
    <row r="357">
      <c r="C357" s="117"/>
    </row>
    <row r="358">
      <c r="C358" s="117"/>
    </row>
    <row r="359">
      <c r="C359" s="117"/>
    </row>
    <row r="360">
      <c r="C360" s="117"/>
    </row>
    <row r="361">
      <c r="C361" s="117"/>
    </row>
    <row r="362">
      <c r="C362" s="117"/>
    </row>
    <row r="363">
      <c r="C363" s="117"/>
    </row>
    <row r="364">
      <c r="C364" s="117"/>
    </row>
    <row r="365">
      <c r="C365" s="117"/>
    </row>
    <row r="366">
      <c r="C366" s="117"/>
    </row>
    <row r="367">
      <c r="C367" s="117"/>
    </row>
    <row r="368">
      <c r="C368" s="117"/>
    </row>
    <row r="369">
      <c r="C369" s="117"/>
    </row>
    <row r="370">
      <c r="C370" s="117"/>
    </row>
    <row r="371">
      <c r="C371" s="117"/>
    </row>
    <row r="372">
      <c r="C372" s="117"/>
    </row>
    <row r="373">
      <c r="C373" s="117"/>
    </row>
    <row r="374">
      <c r="C374" s="117"/>
    </row>
    <row r="375">
      <c r="C375" s="117"/>
    </row>
    <row r="376">
      <c r="C376" s="117"/>
    </row>
    <row r="377">
      <c r="C377" s="117"/>
    </row>
    <row r="378">
      <c r="C378" s="117"/>
    </row>
    <row r="379">
      <c r="C379" s="117"/>
    </row>
    <row r="380">
      <c r="C380" s="117"/>
    </row>
    <row r="381">
      <c r="C381" s="117"/>
    </row>
    <row r="382">
      <c r="C382" s="117"/>
    </row>
    <row r="383">
      <c r="C383" s="117"/>
    </row>
    <row r="384">
      <c r="C384" s="117"/>
    </row>
    <row r="385">
      <c r="C385" s="117"/>
    </row>
    <row r="386">
      <c r="C386" s="117"/>
    </row>
    <row r="387">
      <c r="C387" s="117"/>
    </row>
    <row r="388">
      <c r="C388" s="117"/>
    </row>
    <row r="389">
      <c r="C389" s="117"/>
    </row>
    <row r="390">
      <c r="C390" s="117"/>
    </row>
    <row r="391">
      <c r="C391" s="117"/>
    </row>
    <row r="392">
      <c r="C392" s="117"/>
    </row>
    <row r="393">
      <c r="C393" s="117"/>
    </row>
    <row r="394">
      <c r="C394" s="117"/>
    </row>
    <row r="395">
      <c r="C395" s="117"/>
    </row>
    <row r="396">
      <c r="C396" s="117"/>
    </row>
    <row r="397">
      <c r="C397" s="117"/>
    </row>
    <row r="398">
      <c r="C398" s="117"/>
    </row>
    <row r="399">
      <c r="C399" s="117"/>
    </row>
    <row r="400">
      <c r="C400" s="117"/>
    </row>
    <row r="401">
      <c r="C401" s="117"/>
    </row>
    <row r="402">
      <c r="C402" s="117"/>
    </row>
    <row r="403">
      <c r="C403" s="117"/>
    </row>
    <row r="404">
      <c r="C404" s="117"/>
    </row>
    <row r="405">
      <c r="C405" s="117"/>
    </row>
    <row r="406">
      <c r="C406" s="117"/>
    </row>
    <row r="407">
      <c r="C407" s="117"/>
    </row>
    <row r="408">
      <c r="C408" s="117"/>
    </row>
    <row r="409">
      <c r="C409" s="117"/>
    </row>
    <row r="410">
      <c r="C410" s="117"/>
    </row>
    <row r="411">
      <c r="C411" s="117"/>
    </row>
    <row r="412">
      <c r="C412" s="117"/>
    </row>
    <row r="413">
      <c r="C413" s="117"/>
    </row>
    <row r="414">
      <c r="C414" s="117"/>
    </row>
    <row r="415">
      <c r="C415" s="117"/>
    </row>
    <row r="416">
      <c r="C416" s="117"/>
    </row>
    <row r="417">
      <c r="C417" s="117"/>
    </row>
    <row r="418">
      <c r="C418" s="117"/>
    </row>
    <row r="419">
      <c r="C419" s="117"/>
    </row>
    <row r="420">
      <c r="C420" s="117"/>
    </row>
    <row r="421">
      <c r="C421" s="117"/>
    </row>
    <row r="422">
      <c r="C422" s="117"/>
    </row>
    <row r="423">
      <c r="C423" s="117"/>
    </row>
    <row r="424">
      <c r="C424" s="117"/>
    </row>
    <row r="425">
      <c r="C425" s="117"/>
    </row>
    <row r="426">
      <c r="C426" s="117"/>
    </row>
    <row r="427">
      <c r="C427" s="117"/>
    </row>
    <row r="428">
      <c r="C428" s="117"/>
    </row>
    <row r="429">
      <c r="C429" s="117"/>
    </row>
    <row r="430">
      <c r="C430" s="117"/>
    </row>
    <row r="431">
      <c r="C431" s="117"/>
    </row>
    <row r="432">
      <c r="C432" s="117"/>
    </row>
    <row r="433">
      <c r="C433" s="117"/>
    </row>
    <row r="434">
      <c r="C434" s="117"/>
    </row>
    <row r="435">
      <c r="C435" s="117"/>
    </row>
    <row r="436">
      <c r="C436" s="117"/>
    </row>
    <row r="437">
      <c r="C437" s="117"/>
    </row>
    <row r="438">
      <c r="C438" s="117"/>
    </row>
    <row r="439">
      <c r="C439" s="117"/>
    </row>
    <row r="440">
      <c r="C440" s="117"/>
    </row>
    <row r="441">
      <c r="C441" s="117"/>
    </row>
    <row r="442">
      <c r="C442" s="117"/>
    </row>
    <row r="443">
      <c r="C443" s="117"/>
    </row>
    <row r="444">
      <c r="C444" s="117"/>
    </row>
    <row r="445">
      <c r="C445" s="117"/>
    </row>
    <row r="446">
      <c r="C446" s="117"/>
    </row>
    <row r="447">
      <c r="C447" s="117"/>
    </row>
    <row r="448">
      <c r="C448" s="117"/>
    </row>
    <row r="449">
      <c r="C449" s="117"/>
    </row>
    <row r="450">
      <c r="C450" s="117"/>
    </row>
    <row r="451">
      <c r="C451" s="117"/>
    </row>
    <row r="452">
      <c r="C452" s="117"/>
    </row>
    <row r="453">
      <c r="C453" s="117"/>
    </row>
    <row r="454">
      <c r="C454" s="117"/>
    </row>
    <row r="455">
      <c r="C455" s="117"/>
    </row>
    <row r="456">
      <c r="C456" s="117"/>
    </row>
    <row r="457">
      <c r="C457" s="117"/>
    </row>
    <row r="458">
      <c r="C458" s="117"/>
    </row>
    <row r="459">
      <c r="C459" s="117"/>
    </row>
    <row r="460">
      <c r="C460" s="117"/>
    </row>
    <row r="461">
      <c r="C461" s="117"/>
    </row>
    <row r="462">
      <c r="C462" s="117"/>
    </row>
    <row r="463">
      <c r="C463" s="117"/>
    </row>
    <row r="464">
      <c r="C464" s="117"/>
    </row>
    <row r="465">
      <c r="C465" s="117"/>
    </row>
    <row r="466">
      <c r="C466" s="117"/>
    </row>
    <row r="467">
      <c r="C467" s="117"/>
    </row>
    <row r="468">
      <c r="C468" s="117"/>
    </row>
    <row r="469">
      <c r="C469" s="117"/>
    </row>
    <row r="470">
      <c r="C470" s="117"/>
    </row>
    <row r="471">
      <c r="C471" s="117"/>
    </row>
    <row r="472">
      <c r="C472" s="117"/>
    </row>
    <row r="473">
      <c r="C473" s="117"/>
    </row>
    <row r="474">
      <c r="C474" s="117"/>
    </row>
    <row r="475">
      <c r="C475" s="117"/>
    </row>
    <row r="476">
      <c r="C476" s="117"/>
    </row>
    <row r="477">
      <c r="C477" s="117"/>
    </row>
    <row r="478">
      <c r="C478" s="117"/>
    </row>
    <row r="479">
      <c r="C479" s="117"/>
    </row>
    <row r="480">
      <c r="C480" s="117"/>
    </row>
    <row r="481">
      <c r="C481" s="117"/>
    </row>
    <row r="482">
      <c r="C482" s="117"/>
    </row>
    <row r="483">
      <c r="C483" s="117"/>
    </row>
    <row r="484">
      <c r="C484" s="117"/>
    </row>
    <row r="485">
      <c r="C485" s="117"/>
    </row>
    <row r="486">
      <c r="C486" s="117"/>
    </row>
    <row r="487">
      <c r="C487" s="117"/>
    </row>
    <row r="488">
      <c r="C488" s="117"/>
    </row>
    <row r="489">
      <c r="C489" s="117"/>
    </row>
    <row r="490">
      <c r="C490" s="117"/>
    </row>
    <row r="491">
      <c r="C491" s="117"/>
    </row>
    <row r="492">
      <c r="C492" s="117"/>
    </row>
    <row r="493">
      <c r="C493" s="117"/>
    </row>
    <row r="494">
      <c r="C494" s="117"/>
    </row>
    <row r="495">
      <c r="C495" s="117"/>
    </row>
    <row r="496">
      <c r="C496" s="117"/>
    </row>
    <row r="497">
      <c r="C497" s="117"/>
    </row>
    <row r="498">
      <c r="C498" s="117"/>
    </row>
    <row r="499">
      <c r="C499" s="117"/>
    </row>
    <row r="500">
      <c r="C500" s="117"/>
    </row>
    <row r="501">
      <c r="C501" s="117"/>
    </row>
    <row r="502">
      <c r="C502" s="117"/>
    </row>
    <row r="503">
      <c r="C503" s="117"/>
    </row>
    <row r="504">
      <c r="C504" s="117"/>
    </row>
    <row r="505">
      <c r="C505" s="117"/>
    </row>
    <row r="506">
      <c r="C506" s="117"/>
    </row>
    <row r="507">
      <c r="C507" s="117"/>
    </row>
    <row r="508">
      <c r="C508" s="117"/>
    </row>
    <row r="509">
      <c r="C509" s="117"/>
    </row>
    <row r="510">
      <c r="C510" s="117"/>
    </row>
    <row r="511">
      <c r="C511" s="117"/>
    </row>
    <row r="512">
      <c r="C512" s="117"/>
    </row>
    <row r="513">
      <c r="C513" s="117"/>
    </row>
    <row r="514">
      <c r="C514" s="117"/>
    </row>
    <row r="515">
      <c r="C515" s="117"/>
    </row>
    <row r="516">
      <c r="C516" s="117"/>
    </row>
    <row r="517">
      <c r="C517" s="117"/>
    </row>
    <row r="518">
      <c r="C518" s="117"/>
    </row>
    <row r="519">
      <c r="C519" s="117"/>
    </row>
    <row r="520">
      <c r="C520" s="117"/>
    </row>
    <row r="521">
      <c r="C521" s="117"/>
    </row>
    <row r="522">
      <c r="C522" s="117"/>
    </row>
    <row r="523">
      <c r="C523" s="117"/>
    </row>
    <row r="524">
      <c r="C524" s="117"/>
    </row>
    <row r="525">
      <c r="C525" s="117"/>
    </row>
    <row r="526">
      <c r="C526" s="117"/>
    </row>
    <row r="527">
      <c r="C527" s="117"/>
    </row>
    <row r="528">
      <c r="C528" s="117"/>
    </row>
    <row r="529">
      <c r="C529" s="117"/>
    </row>
    <row r="530">
      <c r="C530" s="117"/>
    </row>
    <row r="531">
      <c r="C531" s="117"/>
    </row>
    <row r="532">
      <c r="C532" s="117"/>
    </row>
    <row r="533">
      <c r="C533" s="117"/>
    </row>
    <row r="534">
      <c r="C534" s="117"/>
    </row>
    <row r="535">
      <c r="C535" s="117"/>
    </row>
    <row r="536">
      <c r="C536" s="117"/>
    </row>
    <row r="537">
      <c r="C537" s="117"/>
    </row>
    <row r="538">
      <c r="C538" s="117"/>
    </row>
    <row r="539">
      <c r="C539" s="117"/>
    </row>
    <row r="540">
      <c r="C540" s="117"/>
    </row>
    <row r="541">
      <c r="C541" s="117"/>
    </row>
    <row r="542">
      <c r="C542" s="117"/>
    </row>
    <row r="543">
      <c r="C543" s="117"/>
    </row>
    <row r="544">
      <c r="C544" s="117"/>
    </row>
    <row r="545">
      <c r="C545" s="117"/>
    </row>
    <row r="546">
      <c r="C546" s="117"/>
    </row>
    <row r="547">
      <c r="C547" s="117"/>
    </row>
    <row r="548">
      <c r="C548" s="117"/>
    </row>
    <row r="549">
      <c r="C549" s="117"/>
    </row>
    <row r="550">
      <c r="C550" s="117"/>
    </row>
    <row r="551">
      <c r="C551" s="117"/>
    </row>
    <row r="552">
      <c r="C552" s="117"/>
    </row>
    <row r="553">
      <c r="C553" s="117"/>
    </row>
    <row r="554">
      <c r="C554" s="117"/>
    </row>
    <row r="555">
      <c r="C555" s="117"/>
    </row>
    <row r="556">
      <c r="C556" s="117"/>
    </row>
    <row r="557">
      <c r="C557" s="117"/>
    </row>
    <row r="558">
      <c r="C558" s="117"/>
    </row>
    <row r="559">
      <c r="C559" s="117"/>
    </row>
    <row r="560">
      <c r="C560" s="117"/>
    </row>
    <row r="561">
      <c r="C561" s="117"/>
    </row>
    <row r="562">
      <c r="C562" s="117"/>
    </row>
    <row r="563">
      <c r="C563" s="117"/>
    </row>
    <row r="564">
      <c r="C564" s="117"/>
    </row>
    <row r="565">
      <c r="C565" s="117"/>
    </row>
    <row r="566">
      <c r="C566" s="117"/>
    </row>
    <row r="567">
      <c r="C567" s="117"/>
    </row>
    <row r="568">
      <c r="C568" s="117"/>
    </row>
    <row r="569">
      <c r="C569" s="117"/>
    </row>
    <row r="570">
      <c r="C570" s="117"/>
    </row>
    <row r="571">
      <c r="C571" s="117"/>
    </row>
    <row r="572">
      <c r="C572" s="117"/>
    </row>
    <row r="573">
      <c r="C573" s="117"/>
    </row>
    <row r="574">
      <c r="C574" s="117"/>
    </row>
    <row r="575">
      <c r="C575" s="117"/>
    </row>
    <row r="576">
      <c r="C576" s="117"/>
    </row>
    <row r="577">
      <c r="C577" s="117"/>
    </row>
    <row r="578">
      <c r="C578" s="117"/>
    </row>
    <row r="579">
      <c r="C579" s="117"/>
    </row>
    <row r="580">
      <c r="C580" s="117"/>
    </row>
    <row r="581">
      <c r="C581" s="117"/>
    </row>
    <row r="582">
      <c r="C582" s="117"/>
    </row>
    <row r="583">
      <c r="C583" s="117"/>
    </row>
    <row r="584">
      <c r="C584" s="117"/>
    </row>
    <row r="585">
      <c r="C585" s="117"/>
    </row>
    <row r="586">
      <c r="C586" s="117"/>
    </row>
    <row r="587">
      <c r="C587" s="117"/>
    </row>
    <row r="588">
      <c r="C588" s="117"/>
    </row>
    <row r="589">
      <c r="C589" s="117"/>
    </row>
    <row r="590">
      <c r="C590" s="117"/>
    </row>
    <row r="591">
      <c r="C591" s="117"/>
    </row>
    <row r="592">
      <c r="C592" s="117"/>
    </row>
    <row r="593">
      <c r="C593" s="117"/>
    </row>
    <row r="594">
      <c r="C594" s="117"/>
    </row>
    <row r="595">
      <c r="C595" s="117"/>
    </row>
    <row r="596">
      <c r="C596" s="117"/>
    </row>
    <row r="597">
      <c r="C597" s="117"/>
    </row>
    <row r="598">
      <c r="C598" s="117"/>
    </row>
    <row r="599">
      <c r="C599" s="117"/>
    </row>
    <row r="600">
      <c r="C600" s="117"/>
    </row>
    <row r="601">
      <c r="C601" s="117"/>
    </row>
    <row r="602">
      <c r="C602" s="117"/>
    </row>
    <row r="603">
      <c r="C603" s="117"/>
    </row>
    <row r="604">
      <c r="C604" s="117"/>
    </row>
    <row r="605">
      <c r="C605" s="117"/>
    </row>
    <row r="606">
      <c r="C606" s="117"/>
    </row>
    <row r="607">
      <c r="C607" s="117"/>
    </row>
    <row r="608">
      <c r="C608" s="117"/>
    </row>
    <row r="609">
      <c r="C609" s="117"/>
    </row>
    <row r="610">
      <c r="C610" s="117"/>
    </row>
    <row r="611">
      <c r="C611" s="117"/>
    </row>
    <row r="612">
      <c r="C612" s="117"/>
    </row>
    <row r="613">
      <c r="C613" s="117"/>
    </row>
    <row r="614">
      <c r="C614" s="117"/>
    </row>
    <row r="615">
      <c r="C615" s="117"/>
    </row>
    <row r="616">
      <c r="C616" s="117"/>
    </row>
    <row r="617">
      <c r="C617" s="117"/>
    </row>
    <row r="618">
      <c r="C618" s="117"/>
    </row>
    <row r="619">
      <c r="C619" s="117"/>
    </row>
    <row r="620">
      <c r="C620" s="117"/>
    </row>
    <row r="621">
      <c r="C621" s="117"/>
    </row>
    <row r="622">
      <c r="C622" s="117"/>
    </row>
    <row r="623">
      <c r="C623" s="117"/>
    </row>
    <row r="624">
      <c r="C624" s="117"/>
    </row>
    <row r="625">
      <c r="C625" s="117"/>
    </row>
    <row r="626">
      <c r="C626" s="117"/>
    </row>
    <row r="627">
      <c r="C627" s="117"/>
    </row>
    <row r="628">
      <c r="C628" s="117"/>
    </row>
    <row r="629">
      <c r="C629" s="117"/>
    </row>
    <row r="630">
      <c r="C630" s="117"/>
    </row>
    <row r="631">
      <c r="C631" s="117"/>
    </row>
    <row r="632">
      <c r="C632" s="117"/>
    </row>
    <row r="633">
      <c r="C633" s="117"/>
    </row>
    <row r="634">
      <c r="C634" s="117"/>
    </row>
    <row r="635">
      <c r="C635" s="117"/>
    </row>
    <row r="636">
      <c r="C636" s="117"/>
    </row>
    <row r="637">
      <c r="C637" s="117"/>
    </row>
    <row r="638">
      <c r="C638" s="117"/>
    </row>
    <row r="639">
      <c r="C639" s="117"/>
    </row>
    <row r="640">
      <c r="C640" s="117"/>
    </row>
    <row r="641">
      <c r="C641" s="117"/>
    </row>
    <row r="642">
      <c r="C642" s="117"/>
    </row>
    <row r="643">
      <c r="C643" s="117"/>
    </row>
    <row r="644">
      <c r="C644" s="117"/>
    </row>
    <row r="645">
      <c r="C645" s="117"/>
    </row>
    <row r="646">
      <c r="C646" s="117"/>
    </row>
    <row r="647">
      <c r="C647" s="117"/>
    </row>
    <row r="648">
      <c r="C648" s="117"/>
    </row>
    <row r="649">
      <c r="C649" s="117"/>
    </row>
    <row r="650">
      <c r="C650" s="117"/>
    </row>
    <row r="651">
      <c r="C651" s="117"/>
    </row>
    <row r="652">
      <c r="C652" s="117"/>
    </row>
    <row r="653">
      <c r="C653" s="117"/>
    </row>
    <row r="654">
      <c r="C654" s="117"/>
    </row>
    <row r="655">
      <c r="C655" s="117"/>
    </row>
    <row r="656">
      <c r="C656" s="117"/>
    </row>
    <row r="657">
      <c r="C657" s="117"/>
    </row>
    <row r="658">
      <c r="C658" s="117"/>
    </row>
    <row r="659">
      <c r="C659" s="117"/>
    </row>
    <row r="660">
      <c r="C660" s="117"/>
    </row>
    <row r="661">
      <c r="C661" s="117"/>
    </row>
    <row r="662">
      <c r="C662" s="117"/>
    </row>
    <row r="663">
      <c r="C663" s="117"/>
    </row>
    <row r="664">
      <c r="C664" s="117"/>
    </row>
    <row r="665">
      <c r="C665" s="117"/>
    </row>
    <row r="666">
      <c r="C666" s="117"/>
    </row>
    <row r="667">
      <c r="C667" s="117"/>
    </row>
    <row r="668">
      <c r="C668" s="117"/>
    </row>
    <row r="669">
      <c r="C669" s="117"/>
    </row>
    <row r="670">
      <c r="C670" s="117"/>
    </row>
    <row r="671">
      <c r="C671" s="117"/>
    </row>
    <row r="672">
      <c r="C672" s="117"/>
    </row>
    <row r="673">
      <c r="C673" s="117"/>
    </row>
    <row r="674">
      <c r="C674" s="117"/>
    </row>
    <row r="675">
      <c r="C675" s="117"/>
    </row>
    <row r="676">
      <c r="C676" s="117"/>
    </row>
    <row r="677">
      <c r="C677" s="117"/>
    </row>
    <row r="678">
      <c r="C678" s="117"/>
    </row>
    <row r="679">
      <c r="C679" s="117"/>
    </row>
    <row r="680">
      <c r="C680" s="117"/>
    </row>
    <row r="681">
      <c r="C681" s="117"/>
    </row>
    <row r="682">
      <c r="C682" s="117"/>
    </row>
    <row r="683">
      <c r="C683" s="117"/>
    </row>
    <row r="684">
      <c r="C684" s="117"/>
    </row>
    <row r="685">
      <c r="C685" s="117"/>
    </row>
    <row r="686">
      <c r="C686" s="117"/>
    </row>
    <row r="687">
      <c r="C687" s="117"/>
    </row>
    <row r="688">
      <c r="C688" s="117"/>
    </row>
    <row r="689">
      <c r="C689" s="117"/>
    </row>
    <row r="690">
      <c r="C690" s="117"/>
    </row>
    <row r="691">
      <c r="C691" s="117"/>
    </row>
    <row r="692">
      <c r="C692" s="117"/>
    </row>
    <row r="693">
      <c r="C693" s="117"/>
    </row>
    <row r="694">
      <c r="C694" s="117"/>
    </row>
    <row r="695">
      <c r="C695" s="117"/>
    </row>
    <row r="696">
      <c r="C696" s="117"/>
    </row>
    <row r="697">
      <c r="C697" s="117"/>
    </row>
    <row r="698">
      <c r="C698" s="117"/>
    </row>
    <row r="699">
      <c r="C699" s="117"/>
    </row>
    <row r="700">
      <c r="C700" s="117"/>
    </row>
    <row r="701">
      <c r="C701" s="117"/>
    </row>
    <row r="702">
      <c r="C702" s="117"/>
    </row>
    <row r="703">
      <c r="C703" s="117"/>
    </row>
    <row r="704">
      <c r="C704" s="117"/>
    </row>
    <row r="705">
      <c r="C705" s="117"/>
    </row>
    <row r="706">
      <c r="C706" s="117"/>
    </row>
    <row r="707">
      <c r="C707" s="117"/>
    </row>
    <row r="708">
      <c r="C708" s="117"/>
    </row>
    <row r="709">
      <c r="C709" s="117"/>
    </row>
    <row r="710">
      <c r="C710" s="117"/>
    </row>
    <row r="711">
      <c r="C711" s="117"/>
    </row>
    <row r="712">
      <c r="C712" s="117"/>
    </row>
    <row r="713">
      <c r="C713" s="117"/>
    </row>
    <row r="714">
      <c r="C714" s="117"/>
    </row>
    <row r="715">
      <c r="C715" s="117"/>
    </row>
    <row r="716">
      <c r="C716" s="117"/>
    </row>
    <row r="717">
      <c r="C717" s="117"/>
    </row>
    <row r="718">
      <c r="C718" s="117"/>
    </row>
    <row r="719">
      <c r="C719" s="117"/>
    </row>
    <row r="720">
      <c r="C720" s="117"/>
    </row>
    <row r="721">
      <c r="C721" s="117"/>
    </row>
    <row r="722">
      <c r="C722" s="117"/>
    </row>
    <row r="723">
      <c r="C723" s="117"/>
    </row>
    <row r="724">
      <c r="C724" s="117"/>
    </row>
    <row r="725">
      <c r="C725" s="117"/>
    </row>
    <row r="726">
      <c r="C726" s="117"/>
    </row>
    <row r="727">
      <c r="C727" s="117"/>
    </row>
    <row r="728">
      <c r="C728" s="117"/>
    </row>
    <row r="729">
      <c r="C729" s="117"/>
    </row>
    <row r="730">
      <c r="C730" s="117"/>
    </row>
    <row r="731">
      <c r="C731" s="117"/>
    </row>
    <row r="732">
      <c r="C732" s="117"/>
    </row>
    <row r="733">
      <c r="C733" s="117"/>
    </row>
    <row r="734">
      <c r="C734" s="117"/>
    </row>
    <row r="735">
      <c r="C735" s="117"/>
    </row>
    <row r="736">
      <c r="C736" s="117"/>
    </row>
    <row r="737">
      <c r="C737" s="117"/>
    </row>
    <row r="738">
      <c r="C738" s="117"/>
    </row>
    <row r="739">
      <c r="C739" s="117"/>
    </row>
    <row r="740">
      <c r="C740" s="117"/>
    </row>
    <row r="741">
      <c r="C741" s="117"/>
    </row>
    <row r="742">
      <c r="C742" s="117"/>
    </row>
    <row r="743">
      <c r="C743" s="117"/>
    </row>
    <row r="744">
      <c r="C744" s="117"/>
    </row>
    <row r="745">
      <c r="C745" s="117"/>
    </row>
    <row r="746">
      <c r="C746" s="117"/>
    </row>
    <row r="747">
      <c r="C747" s="117"/>
    </row>
    <row r="748">
      <c r="C748" s="117"/>
    </row>
    <row r="749">
      <c r="C749" s="117"/>
    </row>
    <row r="750">
      <c r="C750" s="117"/>
    </row>
    <row r="751">
      <c r="C751" s="117"/>
    </row>
    <row r="752">
      <c r="C752" s="117"/>
    </row>
    <row r="753">
      <c r="C753" s="117"/>
    </row>
    <row r="754">
      <c r="C754" s="117"/>
    </row>
    <row r="755">
      <c r="C755" s="117"/>
    </row>
    <row r="756">
      <c r="C756" s="117"/>
    </row>
    <row r="757">
      <c r="C757" s="117"/>
    </row>
    <row r="758">
      <c r="C758" s="117"/>
    </row>
    <row r="759">
      <c r="C759" s="117"/>
    </row>
    <row r="760">
      <c r="C760" s="117"/>
    </row>
    <row r="761">
      <c r="C761" s="117"/>
    </row>
    <row r="762">
      <c r="C762" s="117"/>
    </row>
    <row r="763">
      <c r="C763" s="117"/>
    </row>
    <row r="764">
      <c r="C764" s="117"/>
    </row>
    <row r="765">
      <c r="C765" s="117"/>
    </row>
    <row r="766">
      <c r="C766" s="117"/>
    </row>
    <row r="767">
      <c r="C767" s="117"/>
    </row>
    <row r="768">
      <c r="C768" s="117"/>
    </row>
    <row r="769">
      <c r="C769" s="117"/>
    </row>
    <row r="770">
      <c r="C770" s="117"/>
    </row>
    <row r="771">
      <c r="C771" s="117"/>
    </row>
    <row r="772">
      <c r="C772" s="117"/>
    </row>
    <row r="773">
      <c r="C773" s="117"/>
    </row>
    <row r="774">
      <c r="C774" s="117"/>
    </row>
    <row r="775">
      <c r="C775" s="117"/>
    </row>
    <row r="776">
      <c r="C776" s="117"/>
    </row>
    <row r="777">
      <c r="C777" s="117"/>
    </row>
    <row r="778">
      <c r="C778" s="117"/>
    </row>
    <row r="779">
      <c r="C779" s="117"/>
    </row>
    <row r="780">
      <c r="C780" s="117"/>
    </row>
    <row r="781">
      <c r="C781" s="117"/>
    </row>
    <row r="782">
      <c r="C782" s="117"/>
    </row>
    <row r="783">
      <c r="C783" s="117"/>
    </row>
    <row r="784">
      <c r="C784" s="117"/>
    </row>
    <row r="785">
      <c r="C785" s="117"/>
    </row>
    <row r="786">
      <c r="C786" s="117"/>
    </row>
    <row r="787">
      <c r="C787" s="117"/>
    </row>
    <row r="788">
      <c r="C788" s="117"/>
    </row>
    <row r="789">
      <c r="C789" s="117"/>
    </row>
    <row r="790">
      <c r="C790" s="117"/>
    </row>
    <row r="791">
      <c r="C791" s="117"/>
    </row>
    <row r="792">
      <c r="C792" s="117"/>
    </row>
    <row r="793">
      <c r="C793" s="117"/>
    </row>
    <row r="794">
      <c r="C794" s="117"/>
    </row>
    <row r="795">
      <c r="C795" s="117"/>
    </row>
    <row r="796">
      <c r="C796" s="117"/>
    </row>
    <row r="797">
      <c r="C797" s="117"/>
    </row>
    <row r="798">
      <c r="C798" s="117"/>
    </row>
    <row r="799">
      <c r="C799" s="117"/>
    </row>
    <row r="800">
      <c r="C800" s="117"/>
    </row>
    <row r="801">
      <c r="C801" s="117"/>
    </row>
    <row r="802">
      <c r="C802" s="117"/>
    </row>
    <row r="803">
      <c r="C803" s="117"/>
    </row>
    <row r="804">
      <c r="C804" s="117"/>
    </row>
    <row r="805">
      <c r="C805" s="117"/>
    </row>
    <row r="806">
      <c r="C806" s="117"/>
    </row>
    <row r="807">
      <c r="C807" s="117"/>
    </row>
    <row r="808">
      <c r="C808" s="117"/>
    </row>
    <row r="809">
      <c r="C809" s="117"/>
    </row>
    <row r="810">
      <c r="C810" s="117"/>
    </row>
    <row r="811">
      <c r="C811" s="117"/>
    </row>
    <row r="812">
      <c r="C812" s="117"/>
    </row>
    <row r="813">
      <c r="C813" s="117"/>
    </row>
    <row r="814">
      <c r="C814" s="117"/>
    </row>
    <row r="815">
      <c r="C815" s="117"/>
    </row>
    <row r="816">
      <c r="C816" s="117"/>
    </row>
    <row r="817">
      <c r="C817" s="117"/>
    </row>
    <row r="818">
      <c r="C818" s="117"/>
    </row>
    <row r="819">
      <c r="C819" s="117"/>
    </row>
    <row r="820">
      <c r="C820" s="117"/>
    </row>
    <row r="821">
      <c r="C821" s="117"/>
    </row>
    <row r="822">
      <c r="C822" s="117"/>
    </row>
    <row r="823">
      <c r="C823" s="117"/>
    </row>
    <row r="824">
      <c r="C824" s="117"/>
    </row>
    <row r="825">
      <c r="C825" s="117"/>
    </row>
    <row r="826">
      <c r="C826" s="117"/>
    </row>
    <row r="827">
      <c r="C827" s="117"/>
    </row>
    <row r="828">
      <c r="C828" s="117"/>
    </row>
    <row r="829">
      <c r="C829" s="117"/>
    </row>
    <row r="830">
      <c r="C830" s="117"/>
    </row>
    <row r="831">
      <c r="C831" s="117"/>
    </row>
    <row r="832">
      <c r="C832" s="117"/>
    </row>
    <row r="833">
      <c r="C833" s="117"/>
    </row>
    <row r="834">
      <c r="C834" s="117"/>
    </row>
    <row r="835">
      <c r="C835" s="117"/>
    </row>
    <row r="836">
      <c r="C836" s="117"/>
    </row>
    <row r="837">
      <c r="C837" s="117"/>
    </row>
    <row r="838">
      <c r="C838" s="117"/>
    </row>
    <row r="839">
      <c r="C839" s="117"/>
    </row>
    <row r="840">
      <c r="C840" s="117"/>
    </row>
    <row r="841">
      <c r="C841" s="117"/>
    </row>
    <row r="842">
      <c r="C842" s="117"/>
    </row>
    <row r="843">
      <c r="C843" s="117"/>
    </row>
    <row r="844">
      <c r="C844" s="117"/>
    </row>
    <row r="845">
      <c r="C845" s="117"/>
    </row>
    <row r="846">
      <c r="C846" s="117"/>
    </row>
    <row r="847">
      <c r="C847" s="117"/>
    </row>
    <row r="848">
      <c r="C848" s="117"/>
    </row>
    <row r="849">
      <c r="C849" s="117"/>
    </row>
    <row r="850">
      <c r="C850" s="117"/>
    </row>
    <row r="851">
      <c r="C851" s="117"/>
    </row>
    <row r="852">
      <c r="C852" s="117"/>
    </row>
    <row r="853">
      <c r="C853" s="117"/>
    </row>
    <row r="854">
      <c r="C854" s="117"/>
    </row>
    <row r="855">
      <c r="C855" s="117"/>
    </row>
    <row r="856">
      <c r="C856" s="117"/>
    </row>
    <row r="857">
      <c r="C857" s="117"/>
    </row>
    <row r="858">
      <c r="C858" s="117"/>
    </row>
    <row r="859">
      <c r="C859" s="117"/>
    </row>
    <row r="860">
      <c r="C860" s="117"/>
    </row>
    <row r="861">
      <c r="C861" s="117"/>
    </row>
    <row r="862">
      <c r="C862" s="117"/>
    </row>
    <row r="863">
      <c r="C863" s="117"/>
    </row>
    <row r="864">
      <c r="C864" s="117"/>
    </row>
    <row r="865">
      <c r="C865" s="117"/>
    </row>
    <row r="866">
      <c r="C866" s="117"/>
    </row>
    <row r="867">
      <c r="C867" s="117"/>
    </row>
    <row r="868">
      <c r="C868" s="117"/>
    </row>
    <row r="869">
      <c r="C869" s="117"/>
    </row>
    <row r="870">
      <c r="C870" s="117"/>
    </row>
    <row r="871">
      <c r="C871" s="117"/>
    </row>
    <row r="872">
      <c r="C872" s="117"/>
    </row>
    <row r="873">
      <c r="C873" s="117"/>
    </row>
    <row r="874">
      <c r="C874" s="117"/>
    </row>
    <row r="875">
      <c r="C875" s="117"/>
    </row>
    <row r="876">
      <c r="C876" s="117"/>
    </row>
    <row r="877">
      <c r="C877" s="117"/>
    </row>
    <row r="878">
      <c r="C878" s="117"/>
    </row>
    <row r="879">
      <c r="C879" s="117"/>
    </row>
    <row r="880">
      <c r="C880" s="117"/>
    </row>
    <row r="881">
      <c r="C881" s="117"/>
    </row>
    <row r="882">
      <c r="C882" s="117"/>
    </row>
    <row r="883">
      <c r="C883" s="117"/>
    </row>
    <row r="884">
      <c r="C884" s="117"/>
    </row>
    <row r="885">
      <c r="C885" s="117"/>
    </row>
    <row r="886">
      <c r="C886" s="117"/>
    </row>
    <row r="887">
      <c r="C887" s="117"/>
    </row>
    <row r="888">
      <c r="C888" s="117"/>
    </row>
    <row r="889">
      <c r="C889" s="117"/>
    </row>
    <row r="890">
      <c r="C890" s="117"/>
    </row>
    <row r="891">
      <c r="C891" s="117"/>
    </row>
    <row r="892">
      <c r="C892" s="117"/>
    </row>
    <row r="893">
      <c r="C893" s="117"/>
    </row>
    <row r="894">
      <c r="C894" s="117"/>
    </row>
    <row r="895">
      <c r="C895" s="117"/>
    </row>
    <row r="896">
      <c r="C896" s="117"/>
    </row>
    <row r="897">
      <c r="C897" s="117"/>
    </row>
    <row r="898">
      <c r="C898" s="117"/>
    </row>
    <row r="899">
      <c r="C899" s="117"/>
    </row>
    <row r="900">
      <c r="C900" s="117"/>
    </row>
    <row r="901">
      <c r="C901" s="117"/>
    </row>
    <row r="902">
      <c r="C902" s="117"/>
    </row>
    <row r="903">
      <c r="C903" s="117"/>
    </row>
    <row r="904">
      <c r="C904" s="117"/>
    </row>
    <row r="905">
      <c r="C905" s="117"/>
    </row>
    <row r="906">
      <c r="C906" s="117"/>
    </row>
    <row r="907">
      <c r="C907" s="117"/>
    </row>
    <row r="908">
      <c r="C908" s="117"/>
    </row>
    <row r="909">
      <c r="C909" s="117"/>
    </row>
    <row r="910">
      <c r="C910" s="117"/>
    </row>
    <row r="911">
      <c r="C911" s="117"/>
    </row>
    <row r="912">
      <c r="C912" s="117"/>
    </row>
    <row r="913">
      <c r="C913" s="117"/>
    </row>
    <row r="914">
      <c r="C914" s="117"/>
    </row>
    <row r="915">
      <c r="C915" s="117"/>
    </row>
    <row r="916">
      <c r="C916" s="117"/>
    </row>
    <row r="917">
      <c r="C917" s="117"/>
    </row>
    <row r="918">
      <c r="C918" s="117"/>
    </row>
    <row r="919">
      <c r="C919" s="117"/>
    </row>
    <row r="920">
      <c r="C920" s="117"/>
    </row>
    <row r="921">
      <c r="C921" s="117"/>
    </row>
    <row r="922">
      <c r="C922" s="117"/>
    </row>
    <row r="923">
      <c r="C923" s="117"/>
    </row>
    <row r="924">
      <c r="C924" s="117"/>
    </row>
    <row r="925">
      <c r="C925" s="117"/>
    </row>
    <row r="926">
      <c r="C926" s="117"/>
    </row>
    <row r="927">
      <c r="C927" s="117"/>
    </row>
    <row r="928">
      <c r="C928" s="117"/>
    </row>
    <row r="929">
      <c r="C929" s="117"/>
    </row>
    <row r="930">
      <c r="C930" s="117"/>
    </row>
    <row r="931">
      <c r="C931" s="117"/>
    </row>
    <row r="932">
      <c r="C932" s="117"/>
    </row>
    <row r="933">
      <c r="C933" s="117"/>
    </row>
    <row r="934">
      <c r="C934" s="117"/>
    </row>
    <row r="935">
      <c r="C935" s="117"/>
    </row>
    <row r="936">
      <c r="C936" s="117"/>
    </row>
    <row r="937">
      <c r="C937" s="117"/>
    </row>
    <row r="938">
      <c r="C938" s="117"/>
    </row>
    <row r="939">
      <c r="C939" s="117"/>
    </row>
    <row r="940">
      <c r="C940" s="117"/>
    </row>
    <row r="941">
      <c r="C941" s="117"/>
    </row>
    <row r="942">
      <c r="C942" s="117"/>
    </row>
    <row r="943">
      <c r="C943" s="117"/>
    </row>
    <row r="944">
      <c r="C944" s="117"/>
    </row>
    <row r="945">
      <c r="C945" s="117"/>
    </row>
    <row r="946">
      <c r="C946" s="117"/>
    </row>
    <row r="947">
      <c r="C947" s="117"/>
    </row>
    <row r="948">
      <c r="C948" s="117"/>
    </row>
    <row r="949">
      <c r="C949" s="117"/>
    </row>
    <row r="950">
      <c r="C950" s="117"/>
    </row>
    <row r="951">
      <c r="C951" s="117"/>
    </row>
    <row r="952">
      <c r="C952" s="117"/>
    </row>
    <row r="953">
      <c r="C953" s="117"/>
    </row>
    <row r="954">
      <c r="C954" s="117"/>
    </row>
    <row r="955">
      <c r="C955" s="117"/>
    </row>
    <row r="956">
      <c r="C956" s="117"/>
    </row>
    <row r="957">
      <c r="C957" s="117"/>
    </row>
    <row r="958">
      <c r="C958" s="117"/>
    </row>
    <row r="959">
      <c r="C959" s="117"/>
    </row>
    <row r="960">
      <c r="C960" s="117"/>
    </row>
    <row r="961">
      <c r="C961" s="117"/>
    </row>
    <row r="962">
      <c r="C962" s="117"/>
    </row>
    <row r="963">
      <c r="C963" s="117"/>
    </row>
    <row r="964">
      <c r="C964" s="117"/>
    </row>
    <row r="965">
      <c r="C965" s="117"/>
    </row>
    <row r="966">
      <c r="C966" s="117"/>
    </row>
    <row r="967">
      <c r="C967" s="117"/>
    </row>
    <row r="968">
      <c r="C968" s="117"/>
    </row>
    <row r="969">
      <c r="C969" s="117"/>
    </row>
    <row r="970">
      <c r="C970" s="117"/>
    </row>
    <row r="971">
      <c r="C971" s="117"/>
    </row>
    <row r="972">
      <c r="C972" s="117"/>
    </row>
    <row r="973">
      <c r="C973" s="117"/>
    </row>
    <row r="974">
      <c r="C974" s="117"/>
    </row>
    <row r="975">
      <c r="C975" s="117"/>
    </row>
    <row r="976">
      <c r="C976" s="117"/>
    </row>
    <row r="977">
      <c r="C977" s="117"/>
    </row>
    <row r="978">
      <c r="C978" s="117"/>
    </row>
    <row r="979">
      <c r="C979" s="117"/>
    </row>
    <row r="980">
      <c r="C980" s="117"/>
    </row>
    <row r="981">
      <c r="C981" s="117"/>
    </row>
    <row r="982">
      <c r="C982" s="117"/>
    </row>
    <row r="983">
      <c r="C983" s="117"/>
    </row>
    <row r="984">
      <c r="C984" s="117"/>
    </row>
    <row r="985">
      <c r="C985" s="117"/>
    </row>
    <row r="986">
      <c r="C986" s="117"/>
    </row>
    <row r="987">
      <c r="C987" s="117"/>
    </row>
    <row r="988">
      <c r="C988" s="117"/>
    </row>
    <row r="989">
      <c r="C989" s="117"/>
    </row>
    <row r="990">
      <c r="C990" s="117"/>
    </row>
    <row r="991">
      <c r="C991" s="117"/>
    </row>
    <row r="992">
      <c r="C992" s="117"/>
    </row>
    <row r="993">
      <c r="C993" s="117"/>
    </row>
    <row r="994">
      <c r="C994" s="117"/>
    </row>
    <row r="995">
      <c r="C995" s="117"/>
    </row>
    <row r="996">
      <c r="C996" s="117"/>
    </row>
    <row r="997">
      <c r="C997" s="117"/>
    </row>
    <row r="998">
      <c r="C998" s="117"/>
    </row>
    <row r="999">
      <c r="C999" s="117"/>
    </row>
    <row r="1000">
      <c r="C1000" s="117"/>
    </row>
  </sheetData>
  <drawing r:id="rId1"/>
</worksheet>
</file>